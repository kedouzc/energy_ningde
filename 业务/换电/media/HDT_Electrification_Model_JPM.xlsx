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1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证券投资\投研\能源\宁德时代\业务\换电\media\"/>
    </mc:Choice>
  </mc:AlternateContent>
  <bookViews>
    <workbookView windowWidth="12840" windowHeight="13380" firstSheet="1" activeTab="1"/>
  </bookViews>
  <sheets>
    <sheet name="Table1_销量快照" sheetId="1" r:id="rId1"/>
    <sheet name="Figure1_电池需求预测" sheetId="2" r:id="rId2"/>
    <sheet name="Table3-5_TCO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<sst xmlns="http://schemas.openxmlformats.org/spreadsheetml/2006/main" count="137" uniqueCount="107">
  <si>
    <t>Table 1: 中国重卡销量与电池装机快照 (信源: CAAM + GGII)</t>
  </si>
  <si>
    <t>区块A: CAAM原始数据 (中汽协月度产销快报)</t>
  </si>
  <si>
    <t>指标</t>
  </si>
  <si>
    <t>2024</t>
  </si>
  <si>
    <t>2025</t>
  </si>
  <si>
    <t>2026年1-4月</t>
  </si>
  <si>
    <t>信源</t>
  </si>
  <si>
    <t>重卡总批发销量(万辆, 含出口)</t>
  </si>
  <si>
    <t>CAAM</t>
  </si>
  <si>
    <t>国内重卡销量(万辆)</t>
  </si>
  <si>
    <t>国内新能源重卡销量(万辆)</t>
  </si>
  <si>
    <t>→ 国内NEV渗透率 (%) [公式: =C7/C6]</t>
  </si>
  <si>
    <t>区块B: GGII原始数据 (高工锂电动力电池装机数据库)</t>
  </si>
  <si>
    <t>NEV重卡销量(千辆)</t>
  </si>
  <si>
    <t>GGII</t>
  </si>
  <si>
    <t>NEV重卡电池装机(GWh)</t>
  </si>
  <si>
    <t>→ 单车带电量 (kWh) [公式: =装机GWh*1000000/(销量千辆*1000)]</t>
  </si>
  <si>
    <t>区块C: 结构性占比 (GGII卡车总电池 + 中国动力电池总盘)</t>
  </si>
  <si>
    <t>卡车总电池装机(GWh) [GGII]</t>
  </si>
  <si>
    <t>中国动力电池总销量(GWh) [CAAM]</t>
  </si>
  <si>
    <t>→ 重卡电池占卡车总电池比重 (%) [公式: =重卡装机/卡车总装机]</t>
  </si>
  <si>
    <t>→ 重卡电池占中国动力电池总盘比重 (%) [公式: =重卡装机/总盘]</t>
  </si>
  <si>
    <t>Figure 1: 中国商用车电池需求预测 2022-2030E (CAGR &gt;20%)</t>
  </si>
  <si>
    <t>Part 1: 重卡电池需求 [公式: 国内销量 × 渗透率 × 单车带电量 / 100]</t>
  </si>
  <si>
    <t>年份</t>
  </si>
  <si>
    <t>NEV渗透率(%)</t>
  </si>
  <si>
    <t>NEV销量(万辆)[=B*C]</t>
  </si>
  <si>
    <t>单车带电量(kWh)</t>
  </si>
  <si>
    <t>重卡电池需求(GWh)[=D*E/100]</t>
  </si>
  <si>
    <t>CAAM+GGII</t>
  </si>
  <si>
    <t>JPM假设</t>
  </si>
  <si>
    <t>Part 2: 其他商用车电池需求 [公式: 销量 × 渗透率 × 单车带电量 / 100]</t>
  </si>
  <si>
    <t>细分市场</t>
  </si>
  <si>
    <t>2030E销量(万辆)</t>
  </si>
  <si>
    <t>电池需求(GWh)[=B*C*D/100]</t>
  </si>
  <si>
    <t>信源/假设依据</t>
  </si>
  <si>
    <t xml:space="preserve">轻型卡车(电动) </t>
  </si>
  <si>
    <t>JPM假设 (基于CAAM商用车总量倒推)</t>
  </si>
  <si>
    <t xml:space="preserve">中型卡车(电动) </t>
  </si>
  <si>
    <t xml:space="preserve">新能源客车(电动) </t>
  </si>
  <si>
    <t xml:space="preserve">其他商用车(物流/专用) </t>
  </si>
  <si>
    <t>其他商用车合计 (GWh)</t>
  </si>
  <si>
    <t>商用车电池总需求 (GWh)</t>
  </si>
  <si>
    <t>重卡电池需求CAGR 2025-2030 [公式: =(2030/2025)^(1/5)-1]</t>
  </si>
  <si>
    <t>→ 实际CAGR (%)</t>
  </si>
  <si>
    <t>TCO全生命周期成本分析 (3年/5年/10年) — 信源: 报告Table 3-5</t>
  </si>
  <si>
    <t>共同假设参数 (JPM自建)</t>
  </si>
  <si>
    <t>电动重卡购置价(万元)</t>
  </si>
  <si>
    <t>JPM假设(参考福田/一汽解放报价)</t>
  </si>
  <si>
    <t>LNG重卡购置价(万元)</t>
  </si>
  <si>
    <t>柴油重卡购置价(万元)</t>
  </si>
  <si>
    <t>年行驶里程(万公里)</t>
  </si>
  <si>
    <t>JPM假设(高频运营)</t>
  </si>
  <si>
    <t>电动重卡能耗(kWh/km)</t>
  </si>
  <si>
    <t>JPM假设(满载+空调)</t>
  </si>
  <si>
    <t>LNG重卡能耗(kg/km)</t>
  </si>
  <si>
    <t>柴油重卡能耗(L/km)</t>
  </si>
  <si>
    <t>电价(元/kWh)</t>
  </si>
  <si>
    <t>JPM假设(工商业充电)</t>
  </si>
  <si>
    <t>LNG价格(元/kg) - 基准</t>
  </si>
  <si>
    <t>2026年6月现货价</t>
  </si>
  <si>
    <t>LNG价格(元/kg) - 回落情景</t>
  </si>
  <si>
    <t>2025年均价</t>
  </si>
  <si>
    <t>柴油价格(元/L)</t>
  </si>
  <si>
    <t>2026年6月零售价</t>
  </si>
  <si>
    <t>电动重卡年维护(万元)</t>
  </si>
  <si>
    <t>JPM假设(三电免维护)</t>
  </si>
  <si>
    <t>LNG重卡年维护(万元)</t>
  </si>
  <si>
    <t>柴油重卡年维护(万元)</t>
  </si>
  <si>
    <t>电动重卡年载重损失(万元)</t>
  </si>
  <si>
    <t>JPM假设(电池自重导致载货减少)</t>
  </si>
  <si>
    <t>LNG重卡年载重损失(万元)</t>
  </si>
  <si>
    <t>柴油重卡年载重损失(万元)</t>
  </si>
  <si>
    <t>无电池自重</t>
  </si>
  <si>
    <t>电动重卡购置税率(%)</t>
  </si>
  <si>
    <t>2026年新能源减半征收</t>
  </si>
  <si>
    <t>LNG/柴油购置税率(%)</t>
  </si>
  <si>
    <t>传统燃油车10%</t>
  </si>
  <si>
    <t>电动重卡购车补贴(万元)</t>
  </si>
  <si>
    <t>2026年以旧换新</t>
  </si>
  <si>
    <t>LNG重卡购车补贴(万元)</t>
  </si>
  <si>
    <t>柴油重卡购车补贴(万元)</t>
  </si>
  <si>
    <t>无</t>
  </si>
  <si>
    <t>报废补贴(万元, 电动/LNG统一)</t>
  </si>
  <si>
    <t>Table 3: 基准情景 (LNG=6.2元/kg, 有购置税优惠+补贴)</t>
  </si>
  <si>
    <t>电动重卡</t>
  </si>
  <si>
    <t xml:space="preserve">  ↓购置总成本(万元) [=车价+车价*税率-(购车补贴+报废补贴)]</t>
  </si>
  <si>
    <t xml:space="preserve">  ↓年运营成本(万元) [=里程*能耗*电价+维护+载重损失]</t>
  </si>
  <si>
    <t xml:space="preserve">  TCO 3年(万元)</t>
  </si>
  <si>
    <t xml:space="preserve">  TCO 5年(万元)</t>
  </si>
  <si>
    <t xml:space="preserve">  TCO 10年(万元)</t>
  </si>
  <si>
    <t>LNG重卡</t>
  </si>
  <si>
    <t xml:space="preserve">  ↓购置总成本(万元)</t>
  </si>
  <si>
    <t xml:space="preserve">  ↓年运营成本(万元) [=里程*能耗*LNG价+维护+载重损失]</t>
  </si>
  <si>
    <t>柴油重卡</t>
  </si>
  <si>
    <t xml:space="preserve">  ↓年运营成本(万元)</t>
  </si>
  <si>
    <t>Table 4: LNG价格回落情景 (LNG=4.2元/kg, 有补贴)</t>
  </si>
  <si>
    <t xml:space="preserve">  [注: 将参数B10从6.2改为4.2]</t>
  </si>
  <si>
    <t>电动重卡 TCO 3/5/10年</t>
  </si>
  <si>
    <t>LNG重卡 TCO 3/5/10年 [年运营成本用B10=4.2]</t>
  </si>
  <si>
    <t>电动 vs LNG 3年TCO差异(%)</t>
  </si>
  <si>
    <t>Table 5: 补贴退坡情景 (LNG=6.2, 购置税全征10%, 零补贴)</t>
  </si>
  <si>
    <t>电动重卡 购置总成本(零补贴) [=车价+车价*10%-0]</t>
  </si>
  <si>
    <t>电动 TCO 3/5/10年</t>
  </si>
  <si>
    <t>LNG重卡 购置总成本(零补贴) [=车价+车价*10%-0]</t>
  </si>
  <si>
    <t>LNG TCO 3/5/10年</t>
  </si>
  <si>
    <t>电动 vs LNG 3年TCO差异(%) [零补贴]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</si>
</sst>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1F4E78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ED7D31"/>
      <name val="宋体"/>
      <charset val="134"/>
      <scheme val="minor"/>
    </font>
    <font>
      <b/>
      <sz val="11"/>
      <color rgb="FF548235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0" fillId="4" borderId="1" xfId="0" applyFill="1" applyBorder="1"/>
    <xf numFmtId="0" fontId="4" fillId="0" borderId="0" xfId="0" applyFont="1"/>
    <xf numFmtId="0" fontId="0" fillId="5" borderId="0" xfId="0" applyFill="1"/>
    <xf numFmtId="0" fontId="1" fillId="5" borderId="1" xfId="0" applyFont="1" applyFill="1" applyBorder="1"/>
    <xf numFmtId="0" fontId="5" fillId="0" borderId="0" xfId="0" applyFont="1"/>
    <xf numFmtId="0" fontId="1" fillId="4" borderId="1" xfId="0" applyFont="1" applyFill="1" applyBorder="1"/>
    <xf numFmtId="0" fontId="6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5</xdr:col>
      <xdr:colOff>548640</xdr:colOff>
      <xdr:row>78</xdr:row>
      <xdr:rowOff>45720</xdr:rowOff>
    </xdr:to>
    <xdr:pic>
      <xdr:nvPicPr>
        <xdr:cNvPr id="2" name="图片 1" descr="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657600"/>
          <a:ext cx="8229600" cy="10652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21" sqref="A21"/>
    </sheetView>
  </sheetViews>
  <sheetFormatPr defaultColWidth="9" defaultRowHeight="14.4" outlineLevelCol="4"/>
  <cols>
    <col min="1" max="1" width="49.3333333333333" customWidth="1"/>
    <col min="2" max="4" width="13.5555555555556" customWidth="1"/>
    <col min="5" max="5" width="22" customWidth="1"/>
  </cols>
  <sheetData>
    <row r="1" spans="1:5">
      <c r="A1" s="1" t="s">
        <v>0</v>
      </c>
    </row>
    <row r="3" spans="1:5">
      <c r="A3" s="2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s="4" t="s">
        <v>7</v>
      </c>
      <c r="B5" s="4">
        <v>90.2</v>
      </c>
      <c r="C5" s="4">
        <v>114.4</v>
      </c>
      <c r="D5" s="4">
        <v>43.5</v>
      </c>
      <c r="E5" s="5" t="s">
        <v>8</v>
      </c>
    </row>
    <row r="6" spans="1:5">
      <c r="A6" s="4" t="s">
        <v>9</v>
      </c>
      <c r="B6" s="4">
        <v>61.1</v>
      </c>
      <c r="C6" s="4">
        <v>78.3</v>
      </c>
      <c r="D6" s="4">
        <v>27.3</v>
      </c>
      <c r="E6" s="5" t="s">
        <v>8</v>
      </c>
    </row>
    <row r="7" spans="1:5">
      <c r="A7" s="4" t="s">
        <v>10</v>
      </c>
      <c r="B7" s="4">
        <v>6.9</v>
      </c>
      <c r="C7" s="4">
        <v>19.2</v>
      </c>
      <c r="D7" s="4">
        <v>7.8</v>
      </c>
      <c r="E7" s="5" t="s">
        <v>8</v>
      </c>
    </row>
    <row r="8" spans="1:5">
      <c r="A8" t="s">
        <v>11</v>
      </c>
      <c r="B8" s="12">
        <f>B7/B6*100</f>
        <v>11.2929623567921</v>
      </c>
      <c r="C8" s="12">
        <f>C7/C6*100</f>
        <v>24.5210727969349</v>
      </c>
      <c r="D8" s="12">
        <f>D7/D6*100</f>
        <v>28.5714285714286</v>
      </c>
    </row>
    <row r="10" spans="1:5">
      <c r="A10" s="2" t="s">
        <v>12</v>
      </c>
    </row>
    <row r="11" spans="1:5">
      <c r="A11" t="s">
        <v>13</v>
      </c>
      <c r="C11" s="4">
        <v>224</v>
      </c>
      <c r="D11" s="4">
        <v>30</v>
      </c>
      <c r="E11" s="5" t="s">
        <v>14</v>
      </c>
    </row>
    <row r="12" spans="1:5">
      <c r="A12" t="s">
        <v>15</v>
      </c>
      <c r="C12" s="4">
        <v>93</v>
      </c>
      <c r="D12" s="4">
        <v>30</v>
      </c>
      <c r="E12" s="5" t="s">
        <v>14</v>
      </c>
    </row>
    <row r="13" spans="1:5">
      <c r="A13" t="s">
        <v>16</v>
      </c>
      <c r="C13" s="12">
        <f>C12*1000000/(C11*1000)</f>
        <v>415.178571428571</v>
      </c>
      <c r="D13" s="12">
        <f>D12*1000000/(D11*1000)</f>
        <v>1000</v>
      </c>
    </row>
    <row r="15" spans="1:5">
      <c r="A15" s="2" t="s">
        <v>17</v>
      </c>
    </row>
    <row r="16" spans="1:5">
      <c r="A16" t="s">
        <v>18</v>
      </c>
      <c r="C16" s="4">
        <v>124</v>
      </c>
      <c r="D16" s="4">
        <v>41</v>
      </c>
    </row>
    <row r="17" spans="1:4">
      <c r="A17" t="s">
        <v>19</v>
      </c>
      <c r="C17" s="4">
        <v>715</v>
      </c>
      <c r="D17" s="4">
        <v>240</v>
      </c>
    </row>
    <row r="18" spans="1:4">
      <c r="A18" t="s">
        <v>20</v>
      </c>
      <c r="C18" s="12">
        <f>C12/C16*100</f>
        <v>75</v>
      </c>
      <c r="D18" s="12">
        <f>D12/D16*100</f>
        <v>73.1707317073171</v>
      </c>
    </row>
    <row r="19" spans="1:4">
      <c r="A19" t="s">
        <v>21</v>
      </c>
      <c r="C19" s="12">
        <f>C12/C17*100</f>
        <v>13.006993006993</v>
      </c>
      <c r="D19" s="12">
        <f>D12/D17*100</f>
        <v>12.5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="90" zoomScaleNormal="90" workbookViewId="0">
      <selection activeCell="E24" sqref="E24"/>
    </sheetView>
  </sheetViews>
  <sheetFormatPr defaultColWidth="9" defaultRowHeight="14.4" outlineLevelCol="6"/>
  <cols>
    <col min="1" max="1" width="25.7777777777778" customWidth="1"/>
    <col min="2" max="6" width="10.6666666666667" customWidth="1"/>
  </cols>
  <sheetData>
    <row r="1" spans="1:7">
      <c r="A1" s="1" t="s">
        <v>22</v>
      </c>
    </row>
    <row r="3" spans="1:7">
      <c r="A3" s="2" t="s">
        <v>23</v>
      </c>
    </row>
    <row r="4" spans="1:7">
      <c r="A4" t="s">
        <v>24</v>
      </c>
      <c r="B4" t="s">
        <v>9</v>
      </c>
      <c r="C4" t="s">
        <v>25</v>
      </c>
      <c r="D4" t="s">
        <v>26</v>
      </c>
      <c r="E4" t="s">
        <v>27</v>
      </c>
      <c r="F4" t="s">
        <v>28</v>
      </c>
      <c r="G4" t="s">
        <v>6</v>
      </c>
    </row>
    <row r="5" spans="1:7">
      <c r="A5" s="3">
        <v>2025</v>
      </c>
      <c r="B5" s="4">
        <v>78.3</v>
      </c>
      <c r="C5" s="4">
        <v>25</v>
      </c>
      <c r="D5" s="7">
        <f t="shared" ref="D5:D10" si="0">B5*C5</f>
        <v>1957.5</v>
      </c>
      <c r="E5" s="4">
        <v>416</v>
      </c>
      <c r="F5" s="7">
        <f t="shared" ref="F5:F10" si="1">D5*E5/100</f>
        <v>8143.2</v>
      </c>
      <c r="G5" s="5" t="s">
        <v>29</v>
      </c>
    </row>
    <row r="6" spans="1:7">
      <c r="A6" s="3">
        <v>2026</v>
      </c>
      <c r="B6" s="4">
        <v>80</v>
      </c>
      <c r="C6" s="4">
        <v>35</v>
      </c>
      <c r="D6" s="7">
        <f t="shared" si="0"/>
        <v>2800</v>
      </c>
      <c r="E6" s="4">
        <v>460</v>
      </c>
      <c r="F6" s="7">
        <f t="shared" si="1"/>
        <v>12880</v>
      </c>
      <c r="G6" s="5" t="s">
        <v>30</v>
      </c>
    </row>
    <row r="7" spans="1:7">
      <c r="A7" s="3">
        <v>2027</v>
      </c>
      <c r="B7" s="4">
        <v>80</v>
      </c>
      <c r="C7" s="4">
        <v>42</v>
      </c>
      <c r="D7" s="7">
        <f t="shared" si="0"/>
        <v>3360</v>
      </c>
      <c r="E7" s="4">
        <v>500</v>
      </c>
      <c r="F7" s="7">
        <f t="shared" si="1"/>
        <v>16800</v>
      </c>
      <c r="G7" s="5" t="s">
        <v>30</v>
      </c>
    </row>
    <row r="8" spans="1:7">
      <c r="A8" s="3">
        <v>2028</v>
      </c>
      <c r="B8" s="4">
        <v>82</v>
      </c>
      <c r="C8" s="4">
        <v>46</v>
      </c>
      <c r="D8" s="7">
        <f t="shared" si="0"/>
        <v>3772</v>
      </c>
      <c r="E8" s="4">
        <v>530</v>
      </c>
      <c r="F8" s="7">
        <f t="shared" si="1"/>
        <v>19991.6</v>
      </c>
      <c r="G8" s="5" t="s">
        <v>30</v>
      </c>
    </row>
    <row r="9" spans="1:7">
      <c r="A9" s="3">
        <v>2029</v>
      </c>
      <c r="B9" s="4">
        <v>82</v>
      </c>
      <c r="C9" s="4">
        <v>48</v>
      </c>
      <c r="D9" s="7">
        <f t="shared" si="0"/>
        <v>3936</v>
      </c>
      <c r="E9" s="4">
        <v>550</v>
      </c>
      <c r="F9" s="7">
        <f t="shared" si="1"/>
        <v>21648</v>
      </c>
      <c r="G9" s="5" t="s">
        <v>30</v>
      </c>
    </row>
    <row r="10" spans="1:7">
      <c r="A10" s="3">
        <v>2030</v>
      </c>
      <c r="B10" s="4">
        <v>82</v>
      </c>
      <c r="C10" s="4">
        <v>50</v>
      </c>
      <c r="D10" s="7">
        <f t="shared" si="0"/>
        <v>4100</v>
      </c>
      <c r="E10" s="4">
        <v>570</v>
      </c>
      <c r="F10" s="7">
        <f t="shared" si="1"/>
        <v>23370</v>
      </c>
      <c r="G10" s="5" t="s">
        <v>30</v>
      </c>
    </row>
    <row r="12" spans="1:7">
      <c r="A12" s="2" t="s">
        <v>31</v>
      </c>
    </row>
    <row r="13" spans="1:7">
      <c r="A13" t="s">
        <v>32</v>
      </c>
      <c r="B13" t="s">
        <v>33</v>
      </c>
      <c r="C13" t="s">
        <v>25</v>
      </c>
      <c r="D13" t="s">
        <v>27</v>
      </c>
      <c r="E13" t="s">
        <v>34</v>
      </c>
      <c r="F13" t="s">
        <v>35</v>
      </c>
    </row>
    <row r="14" spans="1:7">
      <c r="A14" s="3" t="s">
        <v>36</v>
      </c>
      <c r="B14" s="4">
        <v>150</v>
      </c>
      <c r="C14" s="4">
        <v>15</v>
      </c>
      <c r="D14" s="4">
        <v>100</v>
      </c>
      <c r="E14" s="12">
        <f>B14*C14*D14/100</f>
        <v>2250</v>
      </c>
      <c r="F14" s="5" t="s">
        <v>37</v>
      </c>
    </row>
    <row r="15" spans="1:7">
      <c r="A15" s="3" t="s">
        <v>38</v>
      </c>
      <c r="B15" s="4">
        <v>15</v>
      </c>
      <c r="C15" s="4">
        <v>30</v>
      </c>
      <c r="D15" s="4">
        <v>200</v>
      </c>
      <c r="E15" s="12">
        <f>B15*C15*D15/100</f>
        <v>900</v>
      </c>
      <c r="F15" s="5" t="s">
        <v>37</v>
      </c>
    </row>
    <row r="16" spans="1:7">
      <c r="A16" s="3" t="s">
        <v>39</v>
      </c>
      <c r="B16" s="4">
        <v>12</v>
      </c>
      <c r="C16" s="4">
        <v>60</v>
      </c>
      <c r="D16" s="4">
        <v>350</v>
      </c>
      <c r="E16" s="12">
        <f>B16*C16*D16/100</f>
        <v>2520</v>
      </c>
      <c r="F16" s="5" t="s">
        <v>37</v>
      </c>
    </row>
    <row r="17" spans="1:6">
      <c r="A17" s="3" t="s">
        <v>40</v>
      </c>
      <c r="B17" s="4">
        <v>20</v>
      </c>
      <c r="C17" s="4">
        <v>25</v>
      </c>
      <c r="D17" s="4">
        <v>150</v>
      </c>
      <c r="E17" s="12">
        <f>B17*C17*D17/100</f>
        <v>750</v>
      </c>
      <c r="F17" s="5" t="s">
        <v>37</v>
      </c>
    </row>
    <row r="18" spans="1:6">
      <c r="A18" s="1" t="s">
        <v>41</v>
      </c>
      <c r="E18" s="1">
        <f>SUM(E14:E17)</f>
        <v>6420</v>
      </c>
    </row>
    <row r="20" ht="15.6" spans="1:6">
      <c r="A20" s="13" t="s">
        <v>42</v>
      </c>
      <c r="F20" s="10">
        <f>F10+E18</f>
        <v>29790</v>
      </c>
    </row>
    <row r="22" spans="1:6">
      <c r="A22" t="s">
        <v>43</v>
      </c>
      <c r="F22">
        <f>(F10*B6)</f>
        <v>1869600</v>
      </c>
    </row>
    <row r="23" spans="1:6">
      <c r="A23" t="s">
        <v>44</v>
      </c>
      <c r="F23" s="10">
        <f>((F10/81.4)^(1/5)-1)*100</f>
        <v>210.175050423305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workbookViewId="0">
      <selection activeCell="A1" sqref="A1"/>
    </sheetView>
  </sheetViews>
  <sheetFormatPr defaultColWidth="9" defaultRowHeight="14.4" outlineLevelCol="3"/>
  <cols>
    <col min="1" max="4" width="55" customWidth="1"/>
  </cols>
  <sheetData>
    <row r="1" spans="1:3">
      <c r="A1" s="1" t="s">
        <v>45</v>
      </c>
    </row>
    <row r="3" spans="1:3">
      <c r="A3" s="2" t="s">
        <v>46</v>
      </c>
    </row>
    <row r="4" spans="1:3">
      <c r="A4" s="3" t="s">
        <v>47</v>
      </c>
      <c r="B4" s="4">
        <v>70</v>
      </c>
      <c r="C4" s="5" t="s">
        <v>48</v>
      </c>
    </row>
    <row r="5" spans="1:3">
      <c r="A5" s="3" t="s">
        <v>49</v>
      </c>
      <c r="B5" s="4">
        <v>45</v>
      </c>
      <c r="C5" s="5" t="s">
        <v>30</v>
      </c>
    </row>
    <row r="6" spans="1:3">
      <c r="A6" s="3" t="s">
        <v>50</v>
      </c>
      <c r="B6" s="4">
        <v>40</v>
      </c>
      <c r="C6" s="5" t="s">
        <v>30</v>
      </c>
    </row>
    <row r="7" spans="1:3">
      <c r="A7" s="3" t="s">
        <v>51</v>
      </c>
      <c r="B7" s="4">
        <v>15</v>
      </c>
      <c r="C7" s="5" t="s">
        <v>52</v>
      </c>
    </row>
    <row r="8" spans="1:3">
      <c r="A8" s="3" t="s">
        <v>53</v>
      </c>
      <c r="B8" s="4">
        <v>1.5</v>
      </c>
      <c r="C8" s="5" t="s">
        <v>54</v>
      </c>
    </row>
    <row r="9" spans="1:3">
      <c r="A9" s="3" t="s">
        <v>55</v>
      </c>
      <c r="B9" s="4">
        <v>0.4</v>
      </c>
      <c r="C9" s="5" t="s">
        <v>30</v>
      </c>
    </row>
    <row r="10" spans="1:3">
      <c r="A10" s="3" t="s">
        <v>56</v>
      </c>
      <c r="B10" s="4">
        <v>0.4</v>
      </c>
      <c r="C10" s="5" t="s">
        <v>30</v>
      </c>
    </row>
    <row r="11" spans="1:3">
      <c r="A11" s="3" t="s">
        <v>57</v>
      </c>
      <c r="B11" s="4">
        <v>0.85</v>
      </c>
      <c r="C11" s="5" t="s">
        <v>58</v>
      </c>
    </row>
    <row r="12" spans="1:3">
      <c r="A12" s="3" t="s">
        <v>59</v>
      </c>
      <c r="B12" s="4">
        <v>6.2</v>
      </c>
      <c r="C12" s="5" t="s">
        <v>60</v>
      </c>
    </row>
    <row r="13" spans="1:3">
      <c r="A13" s="3" t="s">
        <v>61</v>
      </c>
      <c r="B13" s="4">
        <v>4.2</v>
      </c>
      <c r="C13" s="5" t="s">
        <v>62</v>
      </c>
    </row>
    <row r="14" spans="1:3">
      <c r="A14" s="3" t="s">
        <v>63</v>
      </c>
      <c r="B14" s="4">
        <v>7.2</v>
      </c>
      <c r="C14" s="5" t="s">
        <v>64</v>
      </c>
    </row>
    <row r="15" spans="1:3">
      <c r="A15" s="3" t="s">
        <v>65</v>
      </c>
      <c r="B15" s="4">
        <v>1.5</v>
      </c>
      <c r="C15" s="5" t="s">
        <v>66</v>
      </c>
    </row>
    <row r="16" spans="1:3">
      <c r="A16" s="3" t="s">
        <v>67</v>
      </c>
      <c r="B16" s="4">
        <v>2.5</v>
      </c>
      <c r="C16" s="5" t="s">
        <v>30</v>
      </c>
    </row>
    <row r="17" spans="1:3">
      <c r="A17" s="3" t="s">
        <v>68</v>
      </c>
      <c r="B17" s="4">
        <v>3</v>
      </c>
      <c r="C17" s="5" t="s">
        <v>30</v>
      </c>
    </row>
    <row r="18" spans="1:3">
      <c r="A18" s="3" t="s">
        <v>69</v>
      </c>
      <c r="B18" s="4">
        <v>7</v>
      </c>
      <c r="C18" s="5" t="s">
        <v>70</v>
      </c>
    </row>
    <row r="19" spans="1:3">
      <c r="A19" s="3" t="s">
        <v>71</v>
      </c>
      <c r="B19" s="4">
        <v>1.5</v>
      </c>
      <c r="C19" s="5" t="s">
        <v>30</v>
      </c>
    </row>
    <row r="20" spans="1:3">
      <c r="A20" s="3" t="s">
        <v>72</v>
      </c>
      <c r="B20" s="4">
        <v>0</v>
      </c>
      <c r="C20" s="5" t="s">
        <v>73</v>
      </c>
    </row>
    <row r="21" spans="1:3">
      <c r="A21" s="3" t="s">
        <v>74</v>
      </c>
      <c r="B21" s="4">
        <v>5</v>
      </c>
      <c r="C21" s="5" t="s">
        <v>75</v>
      </c>
    </row>
    <row r="22" spans="1:3">
      <c r="A22" s="3" t="s">
        <v>76</v>
      </c>
      <c r="B22" s="4">
        <v>10</v>
      </c>
      <c r="C22" s="5" t="s">
        <v>77</v>
      </c>
    </row>
    <row r="23" spans="1:3">
      <c r="A23" s="3" t="s">
        <v>78</v>
      </c>
      <c r="B23" s="4">
        <v>9.5</v>
      </c>
      <c r="C23" s="5" t="s">
        <v>79</v>
      </c>
    </row>
    <row r="24" spans="1:3">
      <c r="A24" s="3" t="s">
        <v>80</v>
      </c>
      <c r="B24" s="4">
        <v>6.5</v>
      </c>
      <c r="C24" s="5" t="s">
        <v>79</v>
      </c>
    </row>
    <row r="25" spans="1:3">
      <c r="A25" s="3" t="s">
        <v>81</v>
      </c>
      <c r="B25" s="4">
        <v>0</v>
      </c>
      <c r="C25" s="5" t="s">
        <v>82</v>
      </c>
    </row>
    <row r="26" spans="1:3">
      <c r="A26" s="3" t="s">
        <v>83</v>
      </c>
      <c r="B26" s="4">
        <v>4.5</v>
      </c>
      <c r="C26" s="5" t="s">
        <v>79</v>
      </c>
    </row>
    <row r="28" spans="1:3">
      <c r="A28" s="6" t="s">
        <v>84</v>
      </c>
    </row>
    <row r="29" spans="1:3">
      <c r="A29" s="3" t="s">
        <v>85</v>
      </c>
      <c r="B29" s="3"/>
    </row>
    <row r="30" spans="1:3">
      <c r="A30" s="3" t="s">
        <v>86</v>
      </c>
      <c r="B30" s="7">
        <f>B4+B4*B20/100-(B21+B22)</f>
        <v>55</v>
      </c>
    </row>
    <row r="31" spans="1:3">
      <c r="A31" s="3" t="s">
        <v>87</v>
      </c>
      <c r="B31" s="7">
        <f>B7*B10*B8/10000+B13+B17</f>
        <v>7.2009</v>
      </c>
    </row>
    <row r="32" spans="1:3">
      <c r="A32" s="3" t="s">
        <v>88</v>
      </c>
      <c r="B32" s="7">
        <f>B30+B31*3</f>
        <v>76.6027</v>
      </c>
    </row>
    <row r="33" spans="1:2">
      <c r="A33" s="3" t="s">
        <v>89</v>
      </c>
      <c r="B33" s="7">
        <f>B30+B31*5</f>
        <v>91.0045</v>
      </c>
    </row>
    <row r="34" spans="1:2">
      <c r="A34" s="3" t="s">
        <v>90</v>
      </c>
      <c r="B34" s="7">
        <f>B30+B31*10</f>
        <v>127.009</v>
      </c>
    </row>
    <row r="35" spans="1:2">
      <c r="A35" s="3"/>
      <c r="B35" s="3"/>
    </row>
    <row r="36" spans="1:2">
      <c r="A36" s="3" t="s">
        <v>91</v>
      </c>
      <c r="B36" s="3"/>
    </row>
    <row r="37" spans="1:2">
      <c r="A37" s="3" t="s">
        <v>92</v>
      </c>
      <c r="B37" s="7">
        <f>B5+B5*B21/100-(B22+B23)</f>
        <v>27.75</v>
      </c>
    </row>
    <row r="38" spans="1:2">
      <c r="A38" s="3" t="s">
        <v>93</v>
      </c>
      <c r="B38" s="7">
        <f>B7*B11*B9/10000+B14+B18</f>
        <v>14.20051</v>
      </c>
    </row>
    <row r="39" spans="1:2">
      <c r="A39" s="3" t="s">
        <v>88</v>
      </c>
      <c r="B39" s="7">
        <f>B37+B38*3</f>
        <v>70.35153</v>
      </c>
    </row>
    <row r="40" spans="1:2">
      <c r="A40" s="3" t="s">
        <v>89</v>
      </c>
      <c r="B40" s="7">
        <f>B37+B38*5</f>
        <v>98.75255</v>
      </c>
    </row>
    <row r="41" spans="1:2">
      <c r="A41" s="3" t="s">
        <v>90</v>
      </c>
      <c r="B41" s="7">
        <f>B37+B38*10</f>
        <v>169.7551</v>
      </c>
    </row>
    <row r="42" spans="1:2">
      <c r="A42" s="3"/>
      <c r="B42" s="3"/>
    </row>
    <row r="43" spans="1:2">
      <c r="A43" s="3" t="s">
        <v>94</v>
      </c>
      <c r="B43" s="3"/>
    </row>
    <row r="44" spans="1:2">
      <c r="A44" s="3" t="s">
        <v>92</v>
      </c>
      <c r="B44" s="7">
        <f>B6+B6*B21/100-B23</f>
        <v>32.5</v>
      </c>
    </row>
    <row r="45" spans="1:2">
      <c r="A45" s="3" t="s">
        <v>95</v>
      </c>
      <c r="B45" s="7">
        <f>B7*B12*B11/10000+B15+B19</f>
        <v>3.007905</v>
      </c>
    </row>
    <row r="46" spans="1:2">
      <c r="A46" s="3" t="s">
        <v>88</v>
      </c>
      <c r="B46" s="7">
        <f>B44+B45*3</f>
        <v>41.523715</v>
      </c>
    </row>
    <row r="47" spans="1:2">
      <c r="A47" s="3" t="s">
        <v>89</v>
      </c>
      <c r="B47" s="7">
        <f>B44+B45*5</f>
        <v>47.539525</v>
      </c>
    </row>
    <row r="48" spans="1:2">
      <c r="A48" s="3" t="s">
        <v>90</v>
      </c>
      <c r="B48" s="7">
        <f>B44+B45*10</f>
        <v>62.57905</v>
      </c>
    </row>
    <row r="51" spans="1:4">
      <c r="A51" s="8" t="s">
        <v>96</v>
      </c>
    </row>
    <row r="52" spans="1:4">
      <c r="A52" t="s">
        <v>97</v>
      </c>
      <c r="B52" s="9">
        <v>4.2</v>
      </c>
    </row>
    <row r="53" spans="1:4">
      <c r="A53" t="s">
        <v>98</v>
      </c>
      <c r="B53">
        <f>B32</f>
        <v>76.6027</v>
      </c>
      <c r="C53">
        <f>B33</f>
        <v>91.0045</v>
      </c>
      <c r="D53">
        <f>B34</f>
        <v>127.009</v>
      </c>
    </row>
    <row r="54" spans="1:4">
      <c r="A54" t="s">
        <v>99</v>
      </c>
      <c r="B54">
        <f>B37+(B7*B11*$B$52/10000+B14+B18)*3</f>
        <v>70.366065</v>
      </c>
      <c r="C54">
        <f>B37+(B7*B11*$B$52/10000+B14+B18)*5</f>
        <v>98.776775</v>
      </c>
      <c r="D54">
        <f>B37+(B7*B11*$B$52/10000+B14+B18)*10</f>
        <v>169.80355</v>
      </c>
    </row>
    <row r="55" spans="1:4">
      <c r="A55" t="s">
        <v>100</v>
      </c>
      <c r="B55" s="10">
        <f>(B53-B54)/B54*100</f>
        <v>8.86312883916415</v>
      </c>
    </row>
    <row r="57" spans="1:4">
      <c r="A57" s="11" t="s">
        <v>101</v>
      </c>
    </row>
    <row r="58" spans="1:4">
      <c r="A58" t="s">
        <v>102</v>
      </c>
      <c r="B58">
        <f>B4+B4*10/100</f>
        <v>77</v>
      </c>
    </row>
    <row r="59" spans="1:4">
      <c r="A59" t="s">
        <v>103</v>
      </c>
      <c r="B59">
        <f>B58+B31*3</f>
        <v>98.6027</v>
      </c>
      <c r="C59">
        <f>B58+B31*5</f>
        <v>113.0045</v>
      </c>
      <c r="D59">
        <f>B58+B31*10</f>
        <v>149.009</v>
      </c>
    </row>
    <row r="60" spans="1:4">
      <c r="A60" t="s">
        <v>104</v>
      </c>
      <c r="B60">
        <f>B5+B5*10/100</f>
        <v>49.5</v>
      </c>
    </row>
    <row r="61" spans="1:4">
      <c r="A61" t="s">
        <v>105</v>
      </c>
      <c r="B61">
        <f>B60+(B7*B11*B9/10000+B14+B18)*3</f>
        <v>92.10153</v>
      </c>
      <c r="C61">
        <f>B60+(B7*B11*B9/10000+B14+B18)*5</f>
        <v>120.50255</v>
      </c>
      <c r="D61">
        <f>B60+(B7*B11*B9/10000+B14+B18)*10</f>
        <v>191.5051</v>
      </c>
    </row>
    <row r="62" spans="1:4">
      <c r="A62" t="s">
        <v>106</v>
      </c>
      <c r="B62" s="10">
        <f>(B59-B61)/B61*100</f>
        <v>7.05869924202128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Table1_销量快照</vt:lpstr>
      <vt:lpstr>Figure1_电池需求预测</vt:lpstr>
      <vt:lpstr>Table3-5_TCO分析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蝌蚪</cp:lastModifiedBy>
  <dcterms:created xsi:type="dcterms:W3CDTF">2026-08-09T10:23:00Z</dcterms:created>
  <dcterms:modified xsi:type="dcterms:W3CDTF">2026-08-09T15:34:11Z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BEF9E3E79BC94D3EAC2B8FC01264C91C_12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