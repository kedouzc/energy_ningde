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证券投资\投研\能源\宁德时代\业务\换电\定性分析\"/>
    </mc:Choice>
  </mc:AlternateContent>
  <bookViews>
    <workbookView windowWidth="24551" windowHeight="13380"/>
  </bookViews>
  <sheets>
    <sheet name="换电规模测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58F19D7712B34F1A8B327FC7D5F9B4E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32830" y="635"/>
          <a:ext cx="4169410" cy="156083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<sst xmlns="http://schemas.openxmlformats.org/spreadsheetml/2006/main" count="84" uniqueCount="69">
  <si>
    <t>换电装车规模测算逻辑表（2026–2030）</t>
  </si>
  <si>
    <t>数据项</t>
  </si>
  <si>
    <t>公式 / 计算逻辑</t>
  </si>
  <si>
    <t>单位</t>
  </si>
  <si>
    <t>数值</t>
  </si>
  <si>
    <t>数据来源 / 备注</t>
  </si>
  <si>
    <t>总换电装机规模</t>
  </si>
  <si>
    <t>存量换电规模+增量换电规模</t>
  </si>
  <si>
    <t>万kWh</t>
  </si>
  <si>
    <t>总换电车辆规模</t>
  </si>
  <si>
    <t>HDT NEV存量车辆数+HDT NEV增量车辆数</t>
  </si>
  <si>
    <t>万辆</t>
  </si>
  <si>
    <t>存量换电装机规模（2025年已售车辆）</t>
  </si>
  <si>
    <t>单车带电量 × HDT NEV存量车辆数</t>
  </si>
  <si>
    <t>▸ 单车带电量</t>
  </si>
  <si>
    <t>kWh</t>
  </si>
  <si>
    <t>GGII</t>
  </si>
  <si>
    <r>
      <rPr>
        <sz val="10"/>
        <rFont val="宋体"/>
        <charset val="134"/>
      </rPr>
      <t>▸</t>
    </r>
    <r>
      <rPr>
        <sz val="10"/>
        <rFont val="Microsoft YaHei"/>
        <charset val="134"/>
      </rPr>
      <t xml:space="preserve"> HDT NEV存量车辆数</t>
    </r>
  </si>
  <si>
    <t>2025 HDT NEV销量 × 换电渗透率 × CATL市占率</t>
  </si>
  <si>
    <t>验证：2025-5-18 CATL 大同发布会交车1428辆、签约6900辆</t>
  </si>
  <si>
    <t xml:space="preserve">    └ 2025 HDT NEV销量</t>
  </si>
  <si>
    <t>(手动输入)</t>
  </si>
  <si>
    <t>GGII / 第一商用车网（22.4~23.11万）2个数据源取中值</t>
  </si>
  <si>
    <t xml:space="preserve">    └ 换电渗透率</t>
  </si>
  <si>
    <t>%</t>
  </si>
  <si>
    <t>全年6.76万辆（https://www.cvworld.cn/news/Onedata/260124/236241.html）</t>
  </si>
  <si>
    <t xml:space="preserve">    └ CATL市占率</t>
  </si>
  <si>
    <t>国电投启源芯动力2025年底在管电池超9万套（https://www.cnenergynews.cn/article/4PlbwMZ7GKo）、每套282度，扣除换电站1600座*7块/座，装车大概8万套，2024年底大概4.3万套（https://www.moomooapp.com/hans/news/post/46031107?level=3&amp;data_ticket=1786446234381737），2025年新增近4万套</t>
  </si>
  <si>
    <t>增量换电装机规模（2026–2030年新车）</t>
  </si>
  <si>
    <t>单车带电量 × HDT NEV增量车辆数</t>
  </si>
  <si>
    <t>随容量/续航提升（JP Morgan预测）</t>
  </si>
  <si>
    <r>
      <rPr>
        <sz val="10"/>
        <rFont val="宋体"/>
        <charset val="134"/>
      </rPr>
      <t>▸</t>
    </r>
    <r>
      <rPr>
        <sz val="10"/>
        <rFont val="Microsoft YaHei"/>
        <charset val="134"/>
      </rPr>
      <t xml:space="preserve"> HDT NEV增量车辆数</t>
    </r>
  </si>
  <si>
    <t>Σ (新能源重卡总销量 × 场景权重 × 换电渗透率 × CATL市占率）</t>
  </si>
  <si>
    <t xml:space="preserve">  └ 新能源重卡总销量（2026-2030）</t>
  </si>
  <si>
    <t>重卡总销量 × NEV平均渗透率</t>
  </si>
  <si>
    <t>辆</t>
  </si>
  <si>
    <t xml:space="preserve">      └ 重卡总销量（2026-2030）</t>
  </si>
  <si>
    <t>平均年销量 × 5年</t>
  </si>
  <si>
    <t>└ 平均年销量</t>
  </si>
  <si>
    <r>
      <rPr>
        <sz val="10"/>
        <rFont val="Microsoft YaHei"/>
        <charset val="134"/>
      </rPr>
      <t>保有量</t>
    </r>
    <r>
      <rPr>
        <sz val="10"/>
        <rFont val="宋体"/>
        <charset val="134"/>
      </rPr>
      <t>➗更新周期</t>
    </r>
  </si>
  <si>
    <t>如果按900/9=90，按800/10=80，平均年销量在80-100，中国重汽董事长预测2030年HDT销量为90</t>
  </si>
  <si>
    <t>保有量</t>
  </si>
  <si>
    <t>政策2030年保有量，2025年保有量860，物流需求增加、智能化带来的调度效率提升会降低一部分需求、国七推广及国五淘汰会增加一部分需求，综合作用下，保有量会在900万辆左右</t>
  </si>
  <si>
    <t>更新周期</t>
  </si>
  <si>
    <t>年</t>
  </si>
  <si>
    <t>历史数据是8-10年，取中位数</t>
  </si>
  <si>
    <t xml:space="preserve">      └ NEV平均渗透率（2026-2030）</t>
  </si>
  <si>
    <t>从2025年到2030年是S型增长曲线，插值法设定各年数据</t>
  </si>
  <si>
    <t>2025</t>
  </si>
  <si>
    <t>基准年，已有数据（12月破半）</t>
  </si>
  <si>
    <t>2026</t>
  </si>
  <si>
    <t>S型曲线起点，2026全年35%（上半年已达33%、6月峰值44%，全年假设比2025多7个点）</t>
  </si>
  <si>
    <t>2027</t>
  </si>
  <si>
    <t/>
  </si>
  <si>
    <t>2028</t>
  </si>
  <si>
    <t>2029</t>
  </si>
  <si>
    <t>2030</t>
  </si>
  <si>
    <t>政策目标40%，JP Morgan预测会超至50%，中国重汽董事长预测2030年NEV渗透率50%</t>
  </si>
  <si>
    <t>场景：按里程划分</t>
  </si>
  <si>
    <t>销量权重（JP Morgan续航里程统计）</t>
  </si>
  <si>
    <t>换电渗透率</t>
  </si>
  <si>
    <t>CATL市占</t>
  </si>
  <si>
    <t>该场景CATL换电车辆数</t>
  </si>
  <si>
    <t>a 短途 &lt;300km</t>
  </si>
  <si>
    <t>换电30%（自然+金融稳态，非5:5）；宁德3成（启源传统优势）</t>
  </si>
  <si>
    <t>b 中途 300-500km</t>
  </si>
  <si>
    <t>换电50%（介于短途30%/长途70%，快递调拨+钢厂/煤炭固定线路天然偏好换电，2022年换电曾占55:45；奥动原话佐证效率优势）</t>
  </si>
  <si>
    <t>c 长途 &gt;500km</t>
  </si>
  <si>
    <t>换电70%（刚性但分母小）；宁德7成（底盘式主阵地，极兔5000台验证）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</si>
</sst>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FFFFFF"/>
      <name val="Microsoft YaHei"/>
      <charset val="134"/>
    </font>
    <font>
      <b/>
      <sz val="11"/>
      <color rgb="FFFFFFFF"/>
      <name val="Microsoft YaHei"/>
      <charset val="134"/>
    </font>
    <font>
      <b/>
      <sz val="10"/>
      <color rgb="FFC00000"/>
      <name val="Microsoft YaHei"/>
      <charset val="134"/>
    </font>
    <font>
      <sz val="10"/>
      <name val="Microsoft YaHei"/>
      <charset val="134"/>
    </font>
    <font>
      <i/>
      <sz val="9"/>
      <color rgb="FF777777"/>
      <name val="Microsoft YaHei"/>
      <charset val="134"/>
    </font>
    <font>
      <sz val="10"/>
      <color rgb="FF0000FF"/>
      <name val="Microsoft YaHei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 indent="2"/>
    </xf>
    <xf numFmtId="0" fontId="6" fillId="5" borderId="4" xfId="0" applyFont="1" applyFill="1" applyBorder="1" applyAlignment="1">
      <alignment horizontal="left" vertical="center" wrapText="1" indent="3"/>
    </xf>
    <xf numFmtId="0" fontId="4" fillId="5" borderId="4" xfId="0" applyFont="1" applyFill="1" applyBorder="1" applyAlignment="1">
      <alignment horizontal="left" vertical="center" wrapText="1" indent="3"/>
    </xf>
    <xf numFmtId="0" fontId="4" fillId="6" borderId="4" xfId="0" applyFont="1" applyFill="1" applyBorder="1" applyAlignment="1">
      <alignment horizontal="left" vertical="center" wrapText="1" indent="3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243840</xdr:colOff>
      <xdr:row>0</xdr:row>
      <xdr:rowOff>243840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384280" y="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243840</xdr:colOff>
      <xdr:row>0</xdr:row>
      <xdr:rowOff>243840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384280" y="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topLeftCell="A2" workbookViewId="0">
      <selection activeCell="F29" sqref="F29"/>
    </sheetView>
  </sheetViews>
  <sheetFormatPr defaultColWidth="9" defaultRowHeight="14.4" outlineLevelCol="5"/>
  <cols>
    <col min="1" max="1" width="44" customWidth="1"/>
    <col min="2" max="2" width="40" customWidth="1"/>
    <col min="3" max="3" width="12" customWidth="1"/>
    <col min="4" max="4" width="18" customWidth="1"/>
    <col min="5" max="5" width="52" customWidth="1"/>
    <col min="6" max="6" width="18" customWidth="1"/>
  </cols>
  <sheetData>
    <row r="1" ht="34" customHeight="1" spans="1:5">
      <c r="A1" s="1" t="s">
        <v>0</v>
      </c>
      <c r="B1" s="2"/>
      <c r="C1" s="1" t="str">
        <f>_xlfn.DISPIMG("ID_58F19D7712B34F1A8B327FC7D5F9B4E7",1)</f>
        <v>=DISPIMG("ID_58F19D7712B34F1A8B327FC7D5F9B4E7",1)</v>
      </c>
      <c r="D1" s="3"/>
      <c r="E1" s="2"/>
    </row>
    <row r="2" ht="20" customHeight="1" spans="1:5">
      <c r="A2" s="4" t="s">
        <v>1</v>
      </c>
      <c r="B2" s="4" t="s">
        <v>2</v>
      </c>
      <c r="C2" s="5" t="s">
        <v>3</v>
      </c>
      <c r="D2" s="5" t="s">
        <v>4</v>
      </c>
      <c r="E2" s="4" t="s">
        <v>5</v>
      </c>
    </row>
    <row r="3" ht="20" customHeight="1" spans="1:5">
      <c r="A3" s="6" t="s">
        <v>6</v>
      </c>
      <c r="B3" s="7" t="s">
        <v>7</v>
      </c>
      <c r="C3" s="8" t="s">
        <v>8</v>
      </c>
      <c r="D3" s="9">
        <f>D5+D11</f>
        <v>18994</v>
      </c>
      <c r="E3" s="10"/>
    </row>
    <row r="4" customFormat="1" ht="20" customHeight="1" spans="1:5">
      <c r="A4" s="6" t="s">
        <v>9</v>
      </c>
      <c r="B4" s="7" t="s">
        <v>10</v>
      </c>
      <c r="C4" s="8" t="s">
        <v>11</v>
      </c>
      <c r="D4" s="9">
        <f>D7+D13</f>
        <v>38.1</v>
      </c>
      <c r="E4" s="10"/>
    </row>
    <row r="5" customFormat="1" ht="20" customHeight="1" spans="1:5">
      <c r="A5" s="6" t="s">
        <v>12</v>
      </c>
      <c r="B5" s="7" t="s">
        <v>13</v>
      </c>
      <c r="C5" s="8" t="s">
        <v>8</v>
      </c>
      <c r="D5" s="9">
        <f>D6*D7</f>
        <v>294</v>
      </c>
      <c r="E5" s="10"/>
    </row>
    <row r="6" ht="20" customHeight="1" spans="1:5">
      <c r="A6" s="11" t="s">
        <v>14</v>
      </c>
      <c r="B6" s="12"/>
      <c r="C6" s="13" t="s">
        <v>15</v>
      </c>
      <c r="D6" s="13">
        <v>420</v>
      </c>
      <c r="E6" s="14" t="s">
        <v>16</v>
      </c>
    </row>
    <row r="7" ht="20" customHeight="1" spans="1:5">
      <c r="A7" s="15" t="s">
        <v>17</v>
      </c>
      <c r="B7" s="16" t="s">
        <v>18</v>
      </c>
      <c r="C7" s="17" t="s">
        <v>11</v>
      </c>
      <c r="D7" s="17">
        <f>ROUND(D8*D9*D10,1)</f>
        <v>0.7</v>
      </c>
      <c r="E7" s="18" t="s">
        <v>19</v>
      </c>
    </row>
    <row r="8" ht="20" customHeight="1" spans="1:5">
      <c r="A8" s="11" t="s">
        <v>20</v>
      </c>
      <c r="B8" s="12" t="s">
        <v>21</v>
      </c>
      <c r="C8" s="13" t="s">
        <v>11</v>
      </c>
      <c r="D8" s="13">
        <v>23</v>
      </c>
      <c r="E8" s="14" t="s">
        <v>22</v>
      </c>
    </row>
    <row r="9" ht="20" customHeight="1" spans="1:5">
      <c r="A9" s="11" t="s">
        <v>23</v>
      </c>
      <c r="B9" s="12" t="s">
        <v>21</v>
      </c>
      <c r="C9" s="13" t="s">
        <v>24</v>
      </c>
      <c r="D9" s="13">
        <v>0.3</v>
      </c>
      <c r="E9" s="14" t="s">
        <v>25</v>
      </c>
    </row>
    <row r="10" ht="20" customHeight="1" spans="1:5">
      <c r="A10" s="11" t="s">
        <v>26</v>
      </c>
      <c r="B10" s="12" t="s">
        <v>21</v>
      </c>
      <c r="C10" s="13" t="s">
        <v>24</v>
      </c>
      <c r="D10" s="13">
        <v>0.1</v>
      </c>
      <c r="E10" s="19" t="s">
        <v>27</v>
      </c>
    </row>
    <row r="11" customFormat="1" ht="20" customHeight="1" spans="1:5">
      <c r="A11" s="6" t="s">
        <v>28</v>
      </c>
      <c r="B11" s="7" t="s">
        <v>29</v>
      </c>
      <c r="C11" s="8" t="s">
        <v>8</v>
      </c>
      <c r="D11" s="9">
        <f>D12*D13</f>
        <v>18700</v>
      </c>
      <c r="E11" s="10"/>
    </row>
    <row r="12" ht="20" customHeight="1" spans="1:5">
      <c r="A12" s="11" t="s">
        <v>14</v>
      </c>
      <c r="B12" s="12" t="s">
        <v>21</v>
      </c>
      <c r="C12" s="13" t="s">
        <v>15</v>
      </c>
      <c r="D12" s="13">
        <v>500</v>
      </c>
      <c r="E12" s="14" t="s">
        <v>30</v>
      </c>
    </row>
    <row r="13" ht="20" customHeight="1" spans="1:5">
      <c r="A13" s="15" t="s">
        <v>31</v>
      </c>
      <c r="B13" s="16" t="s">
        <v>32</v>
      </c>
      <c r="C13" s="17" t="s">
        <v>11</v>
      </c>
      <c r="D13" s="17">
        <f>SUM(F27:F29)</f>
        <v>37.4</v>
      </c>
      <c r="E13" s="20"/>
    </row>
    <row r="14" customFormat="1" ht="20" customHeight="1" spans="1:5">
      <c r="A14" s="16" t="s">
        <v>33</v>
      </c>
      <c r="B14" s="16" t="s">
        <v>34</v>
      </c>
      <c r="C14" s="17" t="s">
        <v>35</v>
      </c>
      <c r="D14" s="17">
        <f>D15*D19</f>
        <v>222</v>
      </c>
      <c r="E14" s="20"/>
    </row>
    <row r="15" customFormat="1" ht="20" customHeight="1" spans="1:5">
      <c r="A15" s="16" t="s">
        <v>36</v>
      </c>
      <c r="B15" s="16" t="s">
        <v>37</v>
      </c>
      <c r="C15" s="17"/>
      <c r="D15" s="17">
        <f>D16*5</f>
        <v>500</v>
      </c>
      <c r="E15" s="20"/>
    </row>
    <row r="16" customFormat="1" ht="20" customHeight="1" spans="1:5">
      <c r="A16" s="21" t="s">
        <v>38</v>
      </c>
      <c r="B16" s="16" t="s">
        <v>39</v>
      </c>
      <c r="C16" s="17" t="s">
        <v>11</v>
      </c>
      <c r="D16" s="17">
        <f>D17/D18</f>
        <v>100</v>
      </c>
      <c r="E16" s="20" t="s">
        <v>40</v>
      </c>
    </row>
    <row r="17" customFormat="1" ht="20" customHeight="1" spans="1:6">
      <c r="A17" s="22" t="s">
        <v>41</v>
      </c>
      <c r="B17" s="12"/>
      <c r="C17" s="13" t="s">
        <v>11</v>
      </c>
      <c r="D17" s="13">
        <v>900</v>
      </c>
      <c r="E17" s="14" t="s">
        <v>42</v>
      </c>
    </row>
    <row r="18" customFormat="1" ht="20" customHeight="1" spans="1:6">
      <c r="A18" s="22" t="s">
        <v>43</v>
      </c>
      <c r="B18" s="12"/>
      <c r="C18" s="13" t="s">
        <v>44</v>
      </c>
      <c r="D18" s="13">
        <v>9</v>
      </c>
      <c r="E18" s="14" t="s">
        <v>45</v>
      </c>
    </row>
    <row r="19" customFormat="1" ht="20" customHeight="1" spans="1:6">
      <c r="A19" s="16" t="s">
        <v>46</v>
      </c>
      <c r="B19" s="16"/>
      <c r="C19" s="17"/>
      <c r="D19" s="17">
        <f>AVERAGE(D21:D25)</f>
        <v>0.444</v>
      </c>
      <c r="E19" s="20" t="s">
        <v>47</v>
      </c>
    </row>
    <row r="20" ht="20" customHeight="1" spans="1:6">
      <c r="A20" s="23" t="s">
        <v>48</v>
      </c>
      <c r="B20" s="12"/>
      <c r="C20" s="12"/>
      <c r="D20" s="13">
        <v>0.28</v>
      </c>
      <c r="E20" s="14" t="s">
        <v>49</v>
      </c>
    </row>
    <row r="21" ht="20" customHeight="1" spans="1:6">
      <c r="A21" s="24" t="s">
        <v>50</v>
      </c>
      <c r="B21" s="16"/>
      <c r="C21" s="16"/>
      <c r="D21" s="17">
        <v>0.35</v>
      </c>
      <c r="E21" s="20" t="s">
        <v>51</v>
      </c>
    </row>
    <row r="22" ht="20" customHeight="1" spans="1:6">
      <c r="A22" s="24" t="s">
        <v>52</v>
      </c>
      <c r="B22" s="16"/>
      <c r="C22" s="16"/>
      <c r="D22" s="17">
        <v>0.43</v>
      </c>
      <c r="E22" s="20" t="s">
        <v>53</v>
      </c>
    </row>
    <row r="23" ht="20" customHeight="1" spans="1:6">
      <c r="A23" s="24" t="s">
        <v>54</v>
      </c>
      <c r="B23" s="16"/>
      <c r="C23" s="16"/>
      <c r="D23" s="17">
        <v>0.46</v>
      </c>
      <c r="E23" s="20" t="s">
        <v>53</v>
      </c>
    </row>
    <row r="24" ht="20" customHeight="1" spans="1:6">
      <c r="A24" s="24" t="s">
        <v>55</v>
      </c>
      <c r="B24" s="16"/>
      <c r="C24" s="16"/>
      <c r="D24" s="17">
        <v>0.48</v>
      </c>
      <c r="E24" s="20" t="s">
        <v>53</v>
      </c>
    </row>
    <row r="25" ht="20" customHeight="1" spans="1:6">
      <c r="A25" s="24" t="s">
        <v>56</v>
      </c>
      <c r="B25" s="16"/>
      <c r="C25" s="16"/>
      <c r="D25" s="17">
        <v>0.5</v>
      </c>
      <c r="E25" s="20" t="s">
        <v>57</v>
      </c>
    </row>
    <row r="26" customFormat="1" ht="20" customHeight="1" spans="1:6">
      <c r="A26" s="11" t="s">
        <v>58</v>
      </c>
      <c r="B26" s="11" t="s">
        <v>59</v>
      </c>
      <c r="C26" s="11" t="s">
        <v>60</v>
      </c>
      <c r="D26" s="11" t="s">
        <v>61</v>
      </c>
      <c r="E26" s="14"/>
      <c r="F26" t="s">
        <v>62</v>
      </c>
    </row>
    <row r="27" customFormat="1" ht="20" customHeight="1" spans="1:6">
      <c r="A27" s="11" t="s">
        <v>63</v>
      </c>
      <c r="B27" s="12">
        <v>0.38</v>
      </c>
      <c r="C27" s="13">
        <v>0.3</v>
      </c>
      <c r="D27" s="13">
        <v>0.3</v>
      </c>
      <c r="E27" s="14" t="s">
        <v>64</v>
      </c>
      <c r="F27">
        <f>ROUND($D$14*B27*C27*D27,1)</f>
        <v>7.6</v>
      </c>
    </row>
    <row r="28" customFormat="1" ht="20" customHeight="1" spans="1:6">
      <c r="A28" s="11" t="s">
        <v>65</v>
      </c>
      <c r="B28" s="12">
        <v>0.5</v>
      </c>
      <c r="C28" s="13">
        <v>0.5</v>
      </c>
      <c r="D28" s="13">
        <v>0.3</v>
      </c>
      <c r="E28" s="14" t="s">
        <v>66</v>
      </c>
      <c r="F28">
        <f>ROUND($D$14*B28*C28*D28,1)</f>
        <v>16.7</v>
      </c>
    </row>
    <row r="29" customFormat="1" ht="20" customHeight="1" spans="1:6">
      <c r="A29" s="11" t="s">
        <v>67</v>
      </c>
      <c r="B29" s="12">
        <v>0.12</v>
      </c>
      <c r="C29" s="13">
        <v>0.7</v>
      </c>
      <c r="D29" s="13">
        <v>0.7</v>
      </c>
      <c r="E29" s="14" t="s">
        <v>68</v>
      </c>
      <c r="F29">
        <f>ROUND($D$14*B29*C29*D29,1)</f>
        <v>13.1</v>
      </c>
    </row>
  </sheetData>
  <mergeCells count="2">
    <mergeCell ref="A1:B1"/>
    <mergeCell ref="C1:E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换电规模测算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蝌蚪</cp:lastModifiedBy>
  <dcterms:created xsi:type="dcterms:W3CDTF">2026-08-10T10:06:00Z</dcterms:created>
  <dcterms:modified xsi:type="dcterms:W3CDTF">2026-08-18T14:04:42Z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{"Label":"1","ContentProducer":"001191440300708461136T1WFUO","ProduceID":"11ca5d4d6008da1376a3cacec028d666-UjyV","ReservedCode1":"{\"Type\":\" TC260PG\",\"Version\":1,\"Bindings\":[{\"Type\":\"soft\",\"AlgID\":\"sm3\",\"Value\":\"adee892ff88e496403ca67fed13c11a407bb0fefe575a96c8889d0dabf5f3a0f\"},{\"Type\":\"hash\",\"AlgID\":\"sm3\",\"Value\":\"beb7666773b1288517de3f4786e932ef2d4f3e6e9227b0ab724779e96ba6ecac\"}],\"PubSD\":[{\"Type\":\"DS\",\"AlgID\":\"sm2\",\"TBSData\":{\"Type\":\"Binding\",\"BType\":\"hash\"},\"Signature\":\"3046022100c5d7d04d88d0ea72adb6c429d9585bf31843fdd276ed224388f45ff9eb60760e022100eadc23c724d1738e5e329f18ba7b2f6c766135271181729e1680a4cdf73507cd\"},{\"Type\":\"PubKey\",\"AlgID\":\"sm2\",\"KeyValue\":\"0407f79b28a17a752b3aae4305c98b48978213832729a2571850b1310b2bc9fe8fee039ccf25ebfeac27502414d9fcef792d777183c98893d226171c2f7a3289a2\"}],\"Extension\":{\"Timestamp\":1786356425,\"KeyVersion\":\"v1-TxLeOmf7bqU223\"}}","ContentPropagator":"001191440300708461136T1WFUO","PropagateID":"11ca5d4d6008da1376a3cacec028d666-UjyV","ReservedCode2":"{\"Type\":\" TC260PG\",\"Version\":1,\"Bindings\":[{\"Type\":\"soft\",\"AlgID\":\"sm3\",\"Value\":\"adee892ff88e496403ca67fed13c11a407bb0fefe575a96c8889d0dabf5f3a0f\"},{\"Type\":\"hash\",\"AlgID\":\"sm3\",\"Value\":\"beb7666773b1288517de3f4786e932ef2d4f3e6e9227b0ab724779e96ba6ecac\"}],\"PubSD\":[{\"Type\":\"DS\",\"AlgID\":\"sm2\",\"TBSData\":{\"Type\":\"Binding\",\"BType\":\"hash\"},\"Signature\":\"3045022004b00dd736701697defeeee99d286ed79bbf509c90354525eafe89ed128450f4022100fcc1d1e578dd75966c61e59a6a7dc309aa0da0a3bc73d43aa4969ed18c10c27b\"},{\"Type\":\"PubKey\",\"AlgID\":\"sm2\",\"KeyValue\":\"0407f79b28a17a752b3aae4305c98b48978213832729a2571850b1310b2bc9fe8fee039ccf25ebfeac27502414d9fcef792d777183c98893d226171c2f7a3289a2\"}],\"Extension\":{\"Timestamp\":1786356425,\"KeyVersion\":\"v1-TxLeOmf7bqU223\"}}"}</vt:lpwstr>
  </property>
  <property fmtid="{D5CDD505-2E9C-101B-9397-08002B2CF9AE}" pid="3" name="ICV">
    <vt:lpwstr>CECD7ED050524742A75B4A92FD526DE8_12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