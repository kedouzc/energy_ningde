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换电规模测算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出租网约换电规模测算(从存量倒算·v3)</t>
        </is>
      </c>
    </row>
    <row r="2">
      <c r="A2" t="inlineStr">
        <is>
          <t>数据项</t>
        </is>
      </c>
      <c r="B2" t="inlineStr">
        <is>
          <t>公式 / 计算逻辑</t>
        </is>
      </c>
      <c r="C2" t="inlineStr">
        <is>
          <t>单位</t>
        </is>
      </c>
      <c r="D2" t="inlineStr">
        <is>
          <t>数值</t>
        </is>
      </c>
      <c r="E2" t="inlineStr">
        <is>
          <t>数据来源 / 备注</t>
        </is>
      </c>
    </row>
    <row r="3">
      <c r="A3" t="inlineStr">
        <is>
          <t>总换电装机规模</t>
        </is>
      </c>
      <c r="B3" t="inlineStr">
        <is>
          <t>存量换电规模+增量换电规模</t>
        </is>
      </c>
      <c r="C3" t="inlineStr">
        <is>
          <t>万kWh</t>
        </is>
      </c>
      <c r="D3">
        <f>D5+D11</f>
        <v/>
      </c>
      <c r="E3" t="inlineStr"/>
    </row>
    <row r="5">
      <c r="A5" t="inlineStr">
        <is>
          <t>总换电车辆规模</t>
        </is>
      </c>
      <c r="B5" t="inlineStr">
        <is>
          <t>出租网约NEV存量+增量</t>
        </is>
      </c>
      <c r="C5" t="inlineStr">
        <is>
          <t>万辆</t>
        </is>
      </c>
      <c r="D5">
        <f>D7+D13</f>
        <v/>
      </c>
      <c r="E5" t="inlineStr"/>
    </row>
    <row r="7">
      <c r="A7" t="inlineStr">
        <is>
          <t>存量换电装机规模(2025已售)</t>
        </is>
      </c>
      <c r="B7" t="inlineStr">
        <is>
          <t>单车带电量 × 出租网约NEV存量</t>
        </is>
      </c>
      <c r="C7" t="inlineStr">
        <is>
          <t>万kWh</t>
        </is>
      </c>
      <c r="D7">
        <f>D6*D7</f>
        <v/>
      </c>
      <c r="E7" t="inlineStr"/>
    </row>
    <row r="9">
      <c r="A9" t="inlineStr">
        <is>
          <t>▸ 单车带电量(换电版)</t>
        </is>
      </c>
      <c r="B9" t="inlineStr">
        <is>
          <t>手动输入</t>
        </is>
      </c>
      <c r="C9" t="inlineStr">
        <is>
          <t>kWh</t>
        </is>
      </c>
      <c r="D9" t="n">
        <v>56</v>
      </c>
      <c r="E9" t="inlineStr">
        <is>
          <t>巧克力换电乘用车的56kWh块(超换一体.md)</t>
        </is>
      </c>
    </row>
    <row r="11">
      <c r="A11" t="inlineStr">
        <is>
          <t>▸ 出租网约NEV存量车辆数</t>
        </is>
      </c>
      <c r="B11" t="inlineStr">
        <is>
          <t>出租网约营运车保有 × NEV渗透 × 换电渗透 × CATL市占</t>
        </is>
      </c>
      <c r="C11" t="inlineStr">
        <is>
          <t>万辆</t>
        </is>
      </c>
      <c r="D11">
        <f>ROUND(D8*D9*D10*D17,1)</f>
        <v/>
      </c>
      <c r="E11" t="inlineStr">
        <is>
          <t>换电渗透取营运车换电占比(超换一体 §用户结构)</t>
        </is>
      </c>
    </row>
    <row r="13">
      <c r="A13" t="inlineStr">
        <is>
          <t xml:space="preserve">    └ 出租网约营运车保有(2025)</t>
        </is>
      </c>
      <c r="B13" t="inlineStr">
        <is>
          <t>从存量倒算: 年新增营运车 × 在网年限</t>
        </is>
      </c>
      <c r="C13" t="inlineStr">
        <is>
          <t>万辆</t>
        </is>
      </c>
      <c r="D13">
        <f>D15*D16</f>
        <v/>
      </c>
      <c r="E13" t="inlineStr">
        <is>
          <t>交通运输部营运车辆口径, 见E15</t>
        </is>
      </c>
    </row>
    <row r="15">
      <c r="A15" t="inlineStr">
        <is>
          <t xml:space="preserve">    └ NEV渗透(出租网约)</t>
        </is>
      </c>
      <c r="B15" t="inlineStr">
        <is>
          <t>手动输入</t>
        </is>
      </c>
      <c r="C15" t="inlineStr">
        <is>
          <t>%</t>
        </is>
      </c>
      <c r="D15" t="n">
        <v>0.5</v>
      </c>
      <c r="E15" t="inlineStr">
        <is>
          <t>出租/网约纯电渗透已高(部分城市100%, 见城配.md网约车类比)</t>
        </is>
      </c>
    </row>
    <row r="17">
      <c r="A17" t="inlineStr">
        <is>
          <t xml:space="preserve">    └ 换电渗透(存量)</t>
        </is>
      </c>
      <c r="B17" t="inlineStr">
        <is>
          <t>手动输入</t>
        </is>
      </c>
      <c r="C17" t="inlineStr">
        <is>
          <t>%</t>
        </is>
      </c>
      <c r="D17" t="n">
        <v>0.4</v>
      </c>
      <c r="E17" t="inlineStr">
        <is>
          <t>出租/网约车占换电用户68%(超换一体.md §营运用户结构)</t>
        </is>
      </c>
    </row>
    <row r="19">
      <c r="A19" t="inlineStr">
        <is>
          <t xml:space="preserve">    └ CATL市占</t>
        </is>
      </c>
      <c r="B19" t="inlineStr">
        <is>
          <t>手动输入</t>
        </is>
      </c>
      <c r="C19" t="inlineStr">
        <is>
          <t>%</t>
        </is>
      </c>
      <c r="D19" t="n">
        <v>0.4</v>
      </c>
      <c r="E19" t="inlineStr">
        <is>
          <t>巧克力换电乘用车宁德权益</t>
        </is>
      </c>
    </row>
    <row r="21">
      <c r="A21" t="inlineStr">
        <is>
          <t>增量换电装机规模(2026-2030)</t>
        </is>
      </c>
      <c r="B21" t="inlineStr">
        <is>
          <t>单车带电量 × 出租网约NEV增量</t>
        </is>
      </c>
      <c r="C21" t="inlineStr">
        <is>
          <t>万kWh</t>
        </is>
      </c>
      <c r="D21">
        <f>D12*D13</f>
        <v/>
      </c>
      <c r="E21" t="inlineStr"/>
    </row>
    <row r="23">
      <c r="A23" t="inlineStr">
        <is>
          <t>▸ 单车带电量(增量)</t>
        </is>
      </c>
      <c r="B23" t="inlineStr">
        <is>
          <t>手动输入</t>
        </is>
      </c>
      <c r="C23" t="inlineStr">
        <is>
          <t>kWh</t>
        </is>
      </c>
      <c r="D23" t="n">
        <v>56</v>
      </c>
      <c r="E23" t="inlineStr">
        <is>
          <t>同存量</t>
        </is>
      </c>
    </row>
    <row r="25">
      <c r="A25" t="inlineStr">
        <is>
          <t>▸ 出租网约NEV增量车辆数</t>
        </is>
      </c>
      <c r="B25" t="inlineStr">
        <is>
          <t>营运车总销量 × NEV渗透 × 换电渗透 × CATL市占</t>
        </is>
      </c>
      <c r="C25" t="inlineStr">
        <is>
          <t>万辆</t>
        </is>
      </c>
      <c r="D25">
        <f>ROUND(D14*D9*D10*D17,0)</f>
        <v/>
      </c>
      <c r="E25" t="inlineStr"/>
    </row>
    <row r="27">
      <c r="A27" t="inlineStr">
        <is>
          <t xml:space="preserve">  └ 营运车总销量(2026-2030)</t>
        </is>
      </c>
      <c r="B27" t="inlineStr">
        <is>
          <t>年新增 × 5年</t>
        </is>
      </c>
      <c r="C27" t="inlineStr">
        <is>
          <t>万辆</t>
        </is>
      </c>
      <c r="D27">
        <f>D15*5</f>
        <v/>
      </c>
      <c r="E27" t="inlineStr"/>
    </row>
    <row r="29">
      <c r="A29" t="inlineStr">
        <is>
          <t xml:space="preserve">    └ 年新增营运车</t>
        </is>
      </c>
      <c r="B29" t="inlineStr">
        <is>
          <t>手动输入</t>
        </is>
      </c>
      <c r="C29" t="inlineStr">
        <is>
          <t>万辆</t>
        </is>
      </c>
      <c r="D29" t="n">
        <v>56</v>
      </c>
      <c r="E29" t="inlineStr">
        <is>
          <t>出租+网约车年新增(交通运输部+网约平台运力, 取56万/年)</t>
        </is>
      </c>
    </row>
    <row r="31">
      <c r="A31" t="inlineStr">
        <is>
          <t xml:space="preserve">    └ 在网年限</t>
        </is>
      </c>
      <c r="B31" t="inlineStr">
        <is>
          <t>手动输入</t>
        </is>
      </c>
      <c r="C31" t="inlineStr">
        <is>
          <t>年</t>
        </is>
      </c>
      <c r="D31" t="n">
        <v>5</v>
      </c>
      <c r="E31" t="inlineStr">
        <is>
          <t>营运车平均在网约5年→保有=年新增×5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2026-08-17T07:22:33Z</dcterms:created>
  <dcterms:modified xsi:type="dcterms:W3CDTF">2026-08-17T07:22:33Z</dcterms:modified>
</cp:coreProperties>
</file>