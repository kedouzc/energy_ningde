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与说明" sheetId="1" state="visible" r:id="rId1"/>
    <sheet name="Table1_重卡销量快照" sheetId="2" state="visible" r:id="rId2"/>
    <sheet name="Fig1_电池需求预测" sheetId="3" state="visible" r:id="rId3"/>
    <sheet name="Fig2_电动重卡最大续航" sheetId="4" state="visible" r:id="rId4"/>
    <sheet name="Fig3_FY25电池容量结构" sheetId="5" state="visible" r:id="rId5"/>
    <sheet name="Fig4_4M26电池容量结构" sheetId="6" state="visible" r:id="rId6"/>
    <sheet name="Fig5_FY25续航结构" sheetId="7" state="visible" r:id="rId7"/>
    <sheet name="Fig6_4M26续航结构" sheetId="8" state="visible" r:id="rId8"/>
    <sheet name="Table2_补贴政策对比" sheetId="9" state="visible" r:id="rId9"/>
    <sheet name="Fig8_百公里运营成本" sheetId="10" state="visible" r:id="rId10"/>
    <sheet name="Fig10_月度渗透率2026" sheetId="11" state="visible" r:id="rId11"/>
    <sheet name="Table3_TCO基准情景" sheetId="12" state="visible" r:id="rId12"/>
    <sheet name="Table4_TCO低气价情景" sheetId="13" state="visible" r:id="rId13"/>
    <sheet name="Table5_TCO零补贴情景" sheetId="14" state="visible" r:id="rId14"/>
    <sheet name="换电与基础设施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#,##0.000"/>
    <numFmt numFmtId="167" formatCode="0.0000"/>
  </numFmts>
  <fonts count="14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1F4E78"/>
      <sz val="14"/>
    </font>
    <font>
      <i val="1"/>
    </font>
    <font>
      <b val="1"/>
    </font>
    <font>
      <b val="1"/>
      <color rgb="FF1F4E78"/>
      <sz val="11"/>
    </font>
    <font>
      <name val="Calibri"/>
      <family val="2"/>
      <color theme="1"/>
      <sz val="11"/>
      <scheme val="minor"/>
    </font>
    <font>
      <name val="Calibri"/>
    </font>
    <font>
      <sz val="10"/>
    </font>
    <font>
      <sz val="9"/>
    </font>
    <font>
      <name val="Calibri"/>
      <color theme="1"/>
      <sz val="11"/>
    </font>
    <font>
      <b val="1"/>
      <color rgb="00C00000"/>
    </font>
    <font>
      <i val="1"/>
      <sz val="9"/>
    </font>
  </fonts>
  <fills count="13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/>
    </fill>
    <fill>
      <patternFill patternType="solid">
        <fgColor rgb="FFFF000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7" fillId="7" borderId="2"/>
  </cellStyleXfs>
  <cellXfs count="7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7" borderId="2" pivotButton="0" quotePrefix="0" xfId="0"/>
    <xf numFmtId="0" fontId="4" fillId="7" borderId="2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2" pivotButton="0" quotePrefix="0" xfId="0"/>
    <xf numFmtId="0" fontId="7" fillId="7" borderId="2" pivotButton="0" quotePrefix="0" xfId="0"/>
    <xf numFmtId="0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9" fontId="5" fillId="4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1" fontId="7" fillId="3" borderId="1" applyAlignment="1" pivotButton="0" quotePrefix="0" xfId="0">
      <alignment horizontal="left" vertical="center" wrapText="1"/>
    </xf>
    <xf numFmtId="1" fontId="5" fillId="4" borderId="1" applyAlignment="1" pivotButton="0" quotePrefix="0" xfId="0">
      <alignment horizontal="left" vertical="center" wrapText="1"/>
    </xf>
    <xf numFmtId="9" fontId="7" fillId="3" borderId="1" applyAlignment="1" pivotButton="0" quotePrefix="0" xfId="0">
      <alignment horizontal="left" vertical="center" wrapText="1"/>
    </xf>
    <xf numFmtId="1" fontId="5" fillId="3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left" vertical="center" wrapText="1"/>
    </xf>
    <xf numFmtId="3" fontId="7" fillId="3" borderId="1" applyAlignment="1" pivotButton="0" quotePrefix="0" xfId="0">
      <alignment horizontal="left" vertical="center" wrapText="1"/>
    </xf>
    <xf numFmtId="4" fontId="7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166" fontId="7" fillId="3" borderId="1" applyAlignment="1" pivotButton="0" quotePrefix="0" xfId="0">
      <alignment horizontal="left" vertical="center" wrapText="1"/>
    </xf>
    <xf numFmtId="166" fontId="0" fillId="3" borderId="1" applyAlignment="1" pivotButton="0" quotePrefix="0" xfId="0">
      <alignment horizontal="left" vertical="center" wrapText="1"/>
    </xf>
    <xf numFmtId="166" fontId="7" fillId="4" borderId="1" applyAlignment="1" pivotButton="0" quotePrefix="0" xfId="0">
      <alignment horizontal="left" vertical="center" wrapText="1"/>
    </xf>
    <xf numFmtId="166" fontId="0" fillId="4" borderId="1" applyAlignment="1" pivotButton="0" quotePrefix="0" xfId="0">
      <alignment horizontal="left" vertical="center" wrapText="1"/>
    </xf>
    <xf numFmtId="166" fontId="9" fillId="4" borderId="1" applyAlignment="1" pivotButton="0" quotePrefix="0" xfId="0">
      <alignment horizontal="left" vertical="center" wrapText="1"/>
    </xf>
    <xf numFmtId="166" fontId="9" fillId="4" borderId="1" applyAlignment="1" pivotButton="0" quotePrefix="0" xfId="0">
      <alignment horizontal="left" vertical="center" wrapText="1"/>
    </xf>
    <xf numFmtId="166" fontId="10" fillId="4" borderId="1" applyAlignment="1" pivotButton="0" quotePrefix="0" xfId="0">
      <alignment horizontal="left" vertical="center" wrapText="1"/>
    </xf>
    <xf numFmtId="166" fontId="10" fillId="4" borderId="1" applyAlignment="1" pivotButton="0" quotePrefix="0" xfId="0">
      <alignment horizontal="left" vertical="center" wrapText="1"/>
    </xf>
    <xf numFmtId="166" fontId="10" fillId="8" borderId="1" applyAlignment="1" pivotButton="0" quotePrefix="0" xfId="0">
      <alignment horizontal="left" vertical="center" wrapText="1"/>
    </xf>
    <xf numFmtId="62" fontId="0" fillId="3" borderId="1" applyAlignment="1" pivotButton="0" quotePrefix="0" xfId="0">
      <alignment horizontal="left" vertical="center" wrapText="1"/>
    </xf>
    <xf numFmtId="62" fontId="7" fillId="3" borderId="1" applyAlignment="1" pivotButton="0" quotePrefix="0" xfId="0">
      <alignment horizontal="left" vertical="center" wrapText="1"/>
    </xf>
    <xf numFmtId="4" fontId="11" fillId="3" borderId="1" applyAlignment="1" pivotButton="0" quotePrefix="0" xfId="0">
      <alignment horizontal="left" vertical="center" wrapText="1"/>
    </xf>
    <xf numFmtId="0" fontId="3" fillId="7" borderId="2" pivotButton="0" quotePrefix="0" xfId="0"/>
    <xf numFmtId="0" fontId="4" fillId="7" borderId="2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2" pivotButton="0" quotePrefix="0" xfId="0"/>
    <xf numFmtId="0" fontId="7" fillId="7" borderId="2" pivotButton="0" quotePrefix="0" xfId="0"/>
    <xf numFmtId="0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11" borderId="3" applyAlignment="1" pivotButton="0" quotePrefix="0" xfId="0">
      <alignment horizontal="center" vertical="center" wrapText="1"/>
    </xf>
    <xf numFmtId="1" fontId="7" fillId="9" borderId="3" applyAlignment="1" pivotButton="0" quotePrefix="0" xfId="0">
      <alignment horizontal="left" vertical="center" wrapText="1"/>
    </xf>
    <xf numFmtId="165" fontId="7" fillId="9" borderId="3" applyAlignment="1" pivotButton="0" quotePrefix="0" xfId="0">
      <alignment horizontal="left" vertical="center" wrapText="1"/>
    </xf>
    <xf numFmtId="164" fontId="5" fillId="10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left" vertical="center" wrapText="1"/>
    </xf>
    <xf numFmtId="165" fontId="0" fillId="11" borderId="3" pivotButton="0" quotePrefix="0" xfId="0"/>
    <xf numFmtId="165" fontId="5" fillId="10" borderId="1" applyAlignment="1" pivotButton="0" quotePrefix="0" xfId="0">
      <alignment horizontal="left" vertical="center" wrapText="1"/>
    </xf>
    <xf numFmtId="0" fontId="12" fillId="0" borderId="0" pivotButton="0" quotePrefix="0" xfId="0"/>
    <xf numFmtId="166" fontId="10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left" vertical="center" wrapText="1"/>
    </xf>
    <xf numFmtId="167" fontId="0" fillId="9" borderId="3" pivotButton="0" quotePrefix="0" xfId="0"/>
    <xf numFmtId="0" fontId="13" fillId="0" borderId="0" pivotButton="0" quotePrefix="0" xfId="0"/>
    <xf numFmtId="0" fontId="5" fillId="2" borderId="3" applyAlignment="1" pivotButton="0" quotePrefix="0" xfId="0">
      <alignment horizontal="center" vertical="center" wrapText="1"/>
    </xf>
    <xf numFmtId="9" fontId="7" fillId="9" borderId="3" applyAlignment="1" pivotButton="0" quotePrefix="0" xfId="0">
      <alignment horizontal="left" vertical="center" wrapText="1"/>
    </xf>
    <xf numFmtId="0" fontId="0" fillId="12" borderId="0" pivotButton="0" quotePrefix="0" xfId="0"/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1: 中国商用车电池需求与重卡NEV渗透率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'Fig1_电池需求预测'!$B$4</f>
            </strRef>
          </tx>
          <spPr>
            <a:ln>
              <a:prstDash val="solid"/>
            </a:ln>
          </spPr>
          <cat>
            <numRef>
              <f>'Fig1_电池需求预测'!$A$5:$A$13</f>
            </numRef>
          </cat>
          <val>
            <numRef>
              <f>'Fig1_电池需求预测'!$B$5:$B$13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'Fig1_电池需求预测'!$B$16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'Fig1_电池需求预测'!$B$17:$B$25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GWh / %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渗透率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电动重卡最大续航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'Fig2_电动重卡最大续航'!$B$3</f>
            </strRef>
          </tx>
          <spPr>
            <a:ln>
              <a:prstDash val="solid"/>
            </a:ln>
          </spPr>
          <cat>
            <numRef>
              <f>'Fig2_电动重卡最大续航'!$A$4:$A$7</f>
            </numRef>
          </cat>
          <val>
            <numRef>
              <f>'Fig2_电动重卡最大续航'!$B$4:$B$7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3: FY25 新能源重卡电池容量结构</a:t>
            </a:r>
          </a:p>
        </rich>
      </tx>
    </title>
    <plotArea>
      <pieChart>
        <varyColors val="1"/>
        <ser>
          <idx val="0"/>
          <order val="0"/>
          <tx>
            <strRef>
              <f>'Fig3_FY25电池容量结构'!$B$3</f>
            </strRef>
          </tx>
          <spPr>
            <a:ln>
              <a:prstDash val="solid"/>
            </a:ln>
          </spPr>
          <cat>
            <numRef>
              <f>'Fig3_FY25电池容量结构'!$A$4:$A$8</f>
            </numRef>
          </cat>
          <val>
            <numRef>
              <f>'Fig3_FY25电池容量结构'!$B$4:$B$8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4: 2026年1-4月 新能源重卡电池容量结构</a:t>
            </a:r>
          </a:p>
        </rich>
      </tx>
    </title>
    <plotArea>
      <pieChart>
        <varyColors val="1"/>
        <ser>
          <idx val="0"/>
          <order val="0"/>
          <tx>
            <strRef>
              <f>'Fig4_4M26电池容量结构'!$B$3</f>
            </strRef>
          </tx>
          <spPr>
            <a:ln>
              <a:prstDash val="solid"/>
            </a:ln>
          </spPr>
          <cat>
            <numRef>
              <f>'Fig4_4M26电池容量结构'!$A$4:$A$8</f>
            </numRef>
          </cat>
          <val>
            <numRef>
              <f>'Fig4_4M26电池容量结构'!$B$4:$B$8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5: FY25 新能源重卡续航结构</a:t>
            </a:r>
          </a:p>
        </rich>
      </tx>
    </title>
    <plotArea>
      <pieChart>
        <varyColors val="1"/>
        <ser>
          <idx val="0"/>
          <order val="0"/>
          <tx>
            <strRef>
              <f>'Fig5_FY25续航结构'!$B$3</f>
            </strRef>
          </tx>
          <spPr>
            <a:ln>
              <a:prstDash val="solid"/>
            </a:ln>
          </spPr>
          <cat>
            <numRef>
              <f>'Fig5_FY25续航结构'!$A$4:$A$8</f>
            </numRef>
          </cat>
          <val>
            <numRef>
              <f>'Fig5_FY25续航结构'!$B$4:$B$8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6: 2026年1-4月 新能源重卡续航结构</a:t>
            </a:r>
          </a:p>
        </rich>
      </tx>
    </title>
    <plotArea>
      <pieChart>
        <varyColors val="1"/>
        <ser>
          <idx val="0"/>
          <order val="0"/>
          <tx>
            <strRef>
              <f>'Fig6_4M26续航结构'!$B$3</f>
            </strRef>
          </tx>
          <spPr>
            <a:ln>
              <a:prstDash val="solid"/>
            </a:ln>
          </spPr>
          <cat>
            <numRef>
              <f>'Fig6_4M26续航结构'!$A$4:$A$8</f>
            </numRef>
          </cat>
          <val>
            <numRef>
              <f>'Fig6_4M26续航结构'!$B$4:$B$8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重卡每百公里运营成本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'Fig8_百公里运营成本'!$B$3</f>
            </strRef>
          </tx>
          <spPr>
            <a:ln>
              <a:prstDash val="solid"/>
            </a:ln>
          </spPr>
          <cat>
            <numRef>
              <f>'Fig8_百公里运营成本'!$A$4:$A$7</f>
            </numRef>
          </cat>
          <val>
            <numRef>
              <f>'Fig8_百公里运营成本'!$B$4:$B$7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2026年电动 vs LNG 重卡渗透率</a:t>
            </a:r>
          </a:p>
        </rich>
      </tx>
    </title>
    <plotArea>
      <lineChart>
        <grouping val="standard"/>
        <ser>
          <idx val="0"/>
          <order val="0"/>
          <tx>
            <strRef>
              <f>'Fig10_月度渗透率2026'!$B$3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'Fig10_月度渗透率2026'!$A$4:$A$8</f>
            </numRef>
          </cat>
          <val>
            <numRef>
              <f>'Fig10_月度渗透率2026'!$B$4:$B$8</f>
            </numRef>
          </val>
        </ser>
        <ser>
          <idx val="1"/>
          <order val="1"/>
          <tx>
            <strRef>
              <f>'Fig10_月度渗透率2026'!$C$3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'Fig10_月度渗透率2026'!$A$4:$A$8</f>
            </numRef>
          </cat>
          <val>
            <numRef>
              <f>'Fig10_月度渗透率2026'!$C$4:$C$8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1" workbookViewId="0">
      <selection activeCell="A1" sqref="A1"/>
    </sheetView>
  </sheetViews>
  <sheetFormatPr baseColWidth="8" defaultRowHeight="15"/>
  <cols>
    <col width="40" customWidth="1" style="3" min="1" max="1"/>
    <col width="60" customWidth="1" style="3" min="2" max="2"/>
  </cols>
  <sheetData>
    <row r="1">
      <c r="A1" s="42" t="inlineStr">
        <is>
          <t>摩根大通《中国重卡电动化》报告：数据与公式还原</t>
        </is>
      </c>
    </row>
    <row r="3">
      <c r="A3" s="43" t="inlineStr">
        <is>
          <t>本文件基于 J.P. Morgan 2026-06-19 研究报告的图片版整理，所有带色单元格含义如下：</t>
        </is>
      </c>
    </row>
    <row r="5">
      <c r="A5" s="44" t="inlineStr">
        <is>
          <t>颜色</t>
        </is>
      </c>
      <c r="B5" s="44" t="inlineStr">
        <is>
          <t>含义</t>
        </is>
      </c>
    </row>
    <row r="6">
      <c r="A6" s="45" t="inlineStr">
        <is>
          <t>浅蓝</t>
        </is>
      </c>
      <c r="B6" s="46" t="inlineStr">
        <is>
          <t>报告原始数据 / 输入假设</t>
        </is>
      </c>
    </row>
    <row r="7">
      <c r="A7" s="47" t="inlineStr">
        <is>
          <t>白色</t>
        </is>
      </c>
      <c r="B7" s="46" t="inlineStr">
        <is>
          <t>Excel 公式，修改输入后自动重算</t>
        </is>
      </c>
    </row>
    <row r="8">
      <c r="A8" s="48" t="inlineStr">
        <is>
          <t>橙色</t>
        </is>
      </c>
      <c r="B8" s="46" t="inlineStr">
        <is>
          <t>数据来源或说明文字</t>
        </is>
      </c>
    </row>
    <row r="9">
      <c r="A9" s="49" t="inlineStr">
        <is>
          <t>黄色</t>
        </is>
      </c>
      <c r="B9" s="46" t="inlineStr">
        <is>
          <t>关键输出 / 敏感性结果</t>
        </is>
      </c>
    </row>
    <row r="12">
      <c r="A12" s="50" t="inlineStr">
        <is>
          <t>工作表清单</t>
        </is>
      </c>
    </row>
    <row r="13">
      <c r="A13" s="51" t="inlineStr">
        <is>
          <t>Table1_重卡销量快照</t>
        </is>
      </c>
    </row>
    <row r="14">
      <c r="A14" s="51" t="inlineStr">
        <is>
          <t>Fig1_电池需求预测</t>
        </is>
      </c>
    </row>
    <row r="15">
      <c r="A15" s="51" t="inlineStr">
        <is>
          <t>Fig2_电动重卡最大续航</t>
        </is>
      </c>
    </row>
    <row r="16">
      <c r="A16" s="51" t="inlineStr">
        <is>
          <t>Fig3_FY25电池容量结构</t>
        </is>
      </c>
    </row>
    <row r="17">
      <c r="A17" s="51" t="inlineStr">
        <is>
          <t>Fig4_4M26电池容量结构</t>
        </is>
      </c>
    </row>
    <row r="18">
      <c r="A18" s="51" t="inlineStr">
        <is>
          <t>Fig5_FY25续航结构</t>
        </is>
      </c>
    </row>
    <row r="19">
      <c r="A19" s="51" t="inlineStr">
        <is>
          <t>Fig6_4M26续航结构</t>
        </is>
      </c>
    </row>
    <row r="20">
      <c r="A20" s="51" t="inlineStr">
        <is>
          <t>Table2_补贴政策对比</t>
        </is>
      </c>
    </row>
    <row r="21">
      <c r="A21" s="51" t="inlineStr">
        <is>
          <t>Fig8_百公里运营成本</t>
        </is>
      </c>
    </row>
    <row r="22">
      <c r="A22" s="51" t="inlineStr">
        <is>
          <t>Fig10_月度渗透率2026</t>
        </is>
      </c>
    </row>
    <row r="23">
      <c r="A23" s="51" t="inlineStr">
        <is>
          <t>Table3_TCO基准情景</t>
        </is>
      </c>
    </row>
    <row r="24">
      <c r="A24" s="51" t="inlineStr">
        <is>
          <t>Table4_TCO低气价情景</t>
        </is>
      </c>
    </row>
    <row r="25">
      <c r="A25" s="51" t="inlineStr">
        <is>
          <t>Table5_TCO零补贴情景</t>
        </is>
      </c>
    </row>
    <row r="26">
      <c r="A26" s="51" t="inlineStr">
        <is>
          <t>换电与基础设施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selection activeCell="A1" sqref="A1"/>
    </sheetView>
  </sheetViews>
  <sheetFormatPr baseColWidth="8" defaultRowHeight="15"/>
  <cols>
    <col width="36" customWidth="1" style="3" min="1" max="1"/>
    <col width="16" customWidth="1" style="3" min="2" max="2"/>
    <col width="16" customWidth="1" style="3" min="3" max="3"/>
    <col width="18" customWidth="1" style="3" min="4" max="4"/>
    <col width="18" customWidth="1" style="3" min="5" max="5"/>
  </cols>
  <sheetData>
    <row r="1">
      <c r="A1" s="42" t="inlineStr">
        <is>
          <t>Table 1: 中国重卡（HDT）销量与电池装机快照</t>
        </is>
      </c>
    </row>
    <row r="3">
      <c r="A3" s="50" t="inlineStr">
        <is>
          <t>A. 中国重卡销量（CAAM）</t>
        </is>
      </c>
    </row>
    <row r="4">
      <c r="A4" s="44" t="inlineStr">
        <is>
          <t>指标</t>
        </is>
      </c>
      <c r="B4" s="44" t="inlineStr">
        <is>
          <t>2024</t>
        </is>
      </c>
      <c r="C4" s="44" t="inlineStr">
        <is>
          <t>2025</t>
        </is>
      </c>
      <c r="D4" s="44" t="inlineStr">
        <is>
          <t>2026年1-4月</t>
        </is>
      </c>
      <c r="E4" s="44" t="inlineStr">
        <is>
          <t>信源</t>
        </is>
      </c>
    </row>
    <row r="5">
      <c r="A5" s="52" t="inlineStr">
        <is>
          <t>重卡总批发销量（千辆，含出口）</t>
        </is>
      </c>
      <c r="B5" s="53" t="n">
        <v>902</v>
      </c>
      <c r="C5" s="53" t="n">
        <v>1144</v>
      </c>
      <c r="D5" s="53" t="n">
        <v>435</v>
      </c>
      <c r="E5" s="54" t="inlineStr">
        <is>
          <t>CAAM</t>
        </is>
      </c>
    </row>
    <row r="6">
      <c r="A6" s="52" t="inlineStr">
        <is>
          <t>国内重卡销量（千辆）</t>
        </is>
      </c>
      <c r="B6" s="53" t="n">
        <v>611</v>
      </c>
      <c r="C6" s="53" t="n">
        <v>783</v>
      </c>
      <c r="D6" s="53" t="n">
        <v>273</v>
      </c>
      <c r="E6" s="54" t="inlineStr">
        <is>
          <t>CAAM</t>
        </is>
      </c>
    </row>
    <row r="7">
      <c r="A7" s="52" t="inlineStr">
        <is>
          <t>新能源重卡销量（千辆）</t>
        </is>
      </c>
      <c r="B7" s="53" t="n">
        <v>69</v>
      </c>
      <c r="C7" s="53" t="n">
        <v>192</v>
      </c>
      <c r="D7" s="53" t="n">
        <v>78</v>
      </c>
      <c r="E7" s="54" t="inlineStr">
        <is>
          <t>CAAM</t>
        </is>
      </c>
    </row>
    <row r="8">
      <c r="A8" s="51" t="inlineStr">
        <is>
          <t>→ 国内新能源重卡渗透率（%）</t>
        </is>
      </c>
      <c r="B8" s="17">
        <f>=B7/B6</f>
        <v/>
      </c>
      <c r="C8" s="17">
        <f>=C7/C6</f>
        <v/>
      </c>
      <c r="D8" s="17">
        <f>=D7/D6</f>
        <v/>
      </c>
      <c r="E8" s="54" t="inlineStr">
        <is>
          <t>公式：NEV销量/国内销量</t>
        </is>
      </c>
    </row>
    <row r="10">
      <c r="A10" s="50" t="inlineStr">
        <is>
          <t>B. 国内重卡销量与电池装机（GGII）</t>
        </is>
      </c>
    </row>
    <row r="11">
      <c r="A11" s="44" t="inlineStr">
        <is>
          <t>指标</t>
        </is>
      </c>
      <c r="B11" s="44" t="inlineStr">
        <is>
          <t>2024</t>
        </is>
      </c>
      <c r="C11" s="44" t="inlineStr">
        <is>
          <t>2025</t>
        </is>
      </c>
      <c r="D11" s="44" t="inlineStr">
        <is>
          <t>2026年1-4月</t>
        </is>
      </c>
      <c r="E11" s="44" t="inlineStr">
        <is>
          <t>信源</t>
        </is>
      </c>
    </row>
    <row r="12">
      <c r="A12" s="55" t="inlineStr">
        <is>
          <t>新能源重卡销量（千辆）</t>
        </is>
      </c>
      <c r="B12" s="55" t="inlineStr"/>
      <c r="C12" s="19" t="n">
        <v>224</v>
      </c>
      <c r="D12" s="19" t="n">
        <v>72</v>
      </c>
      <c r="E12" s="54" t="inlineStr">
        <is>
          <t>GGII</t>
        </is>
      </c>
    </row>
    <row r="13">
      <c r="A13" s="55" t="inlineStr">
        <is>
          <t>重卡电池装机（GWh）</t>
        </is>
      </c>
      <c r="B13" s="55" t="inlineStr"/>
      <c r="C13" s="19" t="n">
        <v>93</v>
      </c>
      <c r="D13" s="19" t="n">
        <v>30</v>
      </c>
      <c r="E13" s="54" t="inlineStr">
        <is>
          <t>GGII</t>
        </is>
      </c>
    </row>
    <row r="14">
      <c r="A14" s="55" t="inlineStr">
        <is>
          <t>单车带电量（kWh/辆）</t>
        </is>
      </c>
      <c r="B14" s="55" t="inlineStr"/>
      <c r="C14" s="20">
        <f>=C13*1000/C12</f>
        <v/>
      </c>
      <c r="D14" s="20">
        <f>=D13*1000/D12</f>
        <v/>
      </c>
      <c r="E14" s="54" t="inlineStr">
        <is>
          <t>公式</t>
        </is>
      </c>
    </row>
    <row r="16">
      <c r="A16" s="50" t="inlineStr">
        <is>
          <t>C. 新能源卡车与商用车电池（GGII）</t>
        </is>
      </c>
    </row>
    <row r="17">
      <c r="A17" s="44" t="inlineStr">
        <is>
          <t>指标</t>
        </is>
      </c>
      <c r="B17" s="44" t="inlineStr">
        <is>
          <t>2024</t>
        </is>
      </c>
      <c r="C17" s="44" t="inlineStr">
        <is>
          <t>2025</t>
        </is>
      </c>
      <c r="D17" s="44" t="inlineStr">
        <is>
          <t>2026年1-4月</t>
        </is>
      </c>
      <c r="E17" s="44" t="inlineStr">
        <is>
          <t>信源</t>
        </is>
      </c>
    </row>
    <row r="18">
      <c r="A18" s="55" t="inlineStr">
        <is>
          <t>新能源卡车销量（千辆）</t>
        </is>
      </c>
      <c r="B18" s="19" t="n">
        <v>486</v>
      </c>
      <c r="C18" s="19" t="n">
        <v>679</v>
      </c>
      <c r="D18" s="19" t="n">
        <v>226</v>
      </c>
      <c r="E18" s="54" t="inlineStr">
        <is>
          <t>GGII</t>
        </is>
      </c>
    </row>
    <row r="19">
      <c r="A19" s="55" t="inlineStr">
        <is>
          <t>新能源卡车电池（GWh）</t>
        </is>
      </c>
      <c r="B19" s="19" t="n">
        <v>52</v>
      </c>
      <c r="C19" s="19" t="n">
        <v>124</v>
      </c>
      <c r="D19" s="19" t="n">
        <v>41</v>
      </c>
      <c r="E19" s="54" t="inlineStr">
        <is>
          <t>GGII</t>
        </is>
      </c>
    </row>
    <row r="20">
      <c r="A20" s="55" t="inlineStr">
        <is>
          <t>新能源卡车单车带电量（kWh/辆）</t>
        </is>
      </c>
      <c r="B20" s="20">
        <f>=B19*1000/B18</f>
        <v/>
      </c>
      <c r="C20" s="20">
        <f>=C19*1000/C18</f>
        <v/>
      </c>
      <c r="D20" s="20">
        <f>=D19*1000/D18</f>
        <v/>
      </c>
      <c r="E20" s="54" t="inlineStr">
        <is>
          <t>公式</t>
        </is>
      </c>
    </row>
    <row r="21">
      <c r="A21" s="55" t="inlineStr">
        <is>
          <t>重卡电池占卡车电池比重（%）</t>
        </is>
      </c>
      <c r="B21" s="55" t="inlineStr"/>
      <c r="C21" s="17">
        <f>=C13/C19</f>
        <v/>
      </c>
      <c r="D21" s="17">
        <f>=D13/D19</f>
        <v/>
      </c>
      <c r="E21" s="54" t="inlineStr">
        <is>
          <t>公式</t>
        </is>
      </c>
    </row>
    <row r="22">
      <c r="A22" s="55" t="inlineStr">
        <is>
          <t>新能源商用车销量（千辆，卡车+客车）</t>
        </is>
      </c>
      <c r="B22" s="19" t="n">
        <v>535</v>
      </c>
      <c r="C22" s="19" t="n">
        <v>730</v>
      </c>
      <c r="D22" s="19" t="n">
        <v>234</v>
      </c>
      <c r="E22" s="54" t="inlineStr">
        <is>
          <t>GGII</t>
        </is>
      </c>
    </row>
    <row r="23">
      <c r="A23" s="55" t="inlineStr">
        <is>
          <t>新能源商用车电池（GWh，卡车+客车）</t>
        </is>
      </c>
      <c r="B23" s="19" t="n">
        <v>62</v>
      </c>
      <c r="C23" s="19" t="n">
        <v>135</v>
      </c>
      <c r="D23" s="19" t="n">
        <v>43</v>
      </c>
      <c r="E23" s="54" t="inlineStr">
        <is>
          <t>GGII</t>
        </is>
      </c>
    </row>
    <row r="24">
      <c r="A24" s="55" t="inlineStr">
        <is>
          <t>新能源商用车单车带电量（kWh/辆）</t>
        </is>
      </c>
      <c r="B24" s="20">
        <f>=B23*1000/B22</f>
        <v/>
      </c>
      <c r="C24" s="20">
        <f>=C23*1000/C22</f>
        <v/>
      </c>
      <c r="D24" s="20">
        <f>=D23*1000/D22</f>
        <v/>
      </c>
      <c r="E24" s="54" t="inlineStr">
        <is>
          <t>公式</t>
        </is>
      </c>
    </row>
    <row r="25">
      <c r="A25" s="55" t="inlineStr">
        <is>
          <t>重卡电池占商用车电池比重（%）</t>
        </is>
      </c>
      <c r="B25" s="55" t="inlineStr"/>
      <c r="C25" s="17">
        <f>=C13/C23</f>
        <v/>
      </c>
      <c r="D25" s="17">
        <f>=D13/D23</f>
        <v/>
      </c>
      <c r="E25" s="54" t="inlineStr">
        <is>
          <t>公式</t>
        </is>
      </c>
    </row>
    <row r="28">
      <c r="A28" s="50" t="inlineStr">
        <is>
          <t>D. 中国动力电池总销量与结构（CAAM/GGII）</t>
        </is>
      </c>
    </row>
    <row r="29">
      <c r="A29" s="44" t="inlineStr">
        <is>
          <t>指标</t>
        </is>
      </c>
      <c r="B29" s="44" t="inlineStr">
        <is>
          <t>2024</t>
        </is>
      </c>
      <c r="C29" s="44" t="inlineStr">
        <is>
          <t>2025</t>
        </is>
      </c>
      <c r="D29" s="44" t="inlineStr">
        <is>
          <t>2026年1-4月</t>
        </is>
      </c>
      <c r="E29" s="44" t="inlineStr">
        <is>
          <t>信源</t>
        </is>
      </c>
    </row>
    <row r="30">
      <c r="A30" s="55" t="inlineStr">
        <is>
          <t>中国动力电池总销量（GWh，乘用车+商用车）</t>
        </is>
      </c>
      <c r="B30" s="19" t="n">
        <v>530</v>
      </c>
      <c r="C30" s="19" t="n">
        <v>715</v>
      </c>
      <c r="D30" s="19" t="n">
        <v>187</v>
      </c>
      <c r="E30" s="54" t="inlineStr">
        <is>
          <t>CAAM</t>
        </is>
      </c>
    </row>
    <row r="31">
      <c r="A31" s="55" t="inlineStr">
        <is>
          <t>商用车电池占总销量比重（%）</t>
        </is>
      </c>
      <c r="B31" s="17">
        <f>=B23/B30</f>
        <v/>
      </c>
      <c r="C31" s="17">
        <f>=C23/C30</f>
        <v/>
      </c>
      <c r="D31" s="17">
        <f>=D23/D30</f>
        <v/>
      </c>
      <c r="E31" s="54" t="inlineStr">
        <is>
          <t>公式</t>
        </is>
      </c>
    </row>
    <row r="32">
      <c r="A32" s="55" t="inlineStr">
        <is>
          <t>卡车电池占总销量比重（%）</t>
        </is>
      </c>
      <c r="B32" s="17">
        <f>=B19/B30</f>
        <v/>
      </c>
      <c r="C32" s="17">
        <f>=C19/C30</f>
        <v/>
      </c>
      <c r="D32" s="17">
        <f>=D19/D30</f>
        <v/>
      </c>
      <c r="E32" s="54" t="inlineStr">
        <is>
          <t>公式</t>
        </is>
      </c>
    </row>
    <row r="33">
      <c r="A33" s="55" t="inlineStr">
        <is>
          <t>重卡电池占总销量比重（%）</t>
        </is>
      </c>
      <c r="B33" s="19" t="inlineStr"/>
      <c r="C33" s="17">
        <f>=C13/C30</f>
        <v/>
      </c>
      <c r="D33" s="17">
        <f>=D13/D30</f>
        <v/>
      </c>
      <c r="E33" s="54" t="inlineStr">
        <is>
          <t>公式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1" workbookViewId="0">
      <selection activeCell="A1" sqref="A1"/>
    </sheetView>
  </sheetViews>
  <sheetFormatPr baseColWidth="8" defaultRowHeight="15"/>
  <cols>
    <col width="12" customWidth="1" style="3" min="1" max="1"/>
    <col width="22" customWidth="1" style="3" min="2" max="2"/>
    <col width="14" customWidth="1" style="3" min="3" max="3"/>
    <col width="16" customWidth="1" style="3" min="4" max="4"/>
    <col width="18" customWidth="1" style="3" min="5" max="5"/>
    <col width="20" customWidth="1" style="3" min="6" max="6"/>
    <col width="18" customWidth="1" style="3" min="7" max="7"/>
    <col width="16" customWidth="1" style="3" min="8" max="8"/>
    <col width="14" customWidth="1" style="3" min="10" max="10"/>
  </cols>
  <sheetData>
    <row r="1">
      <c r="A1" s="42" t="inlineStr">
        <is>
          <t>Figure 1: 中国商用车电池需求与重卡新能源渗透率预测</t>
        </is>
      </c>
      <c r="J1" s="63" t="inlineStr">
        <is>
          <t>口径因子 α</t>
        </is>
      </c>
      <c r="K1" s="66" t="n">
        <v>1.1421</v>
      </c>
    </row>
    <row r="2">
      <c r="J2" s="67">
        <f> GGII电池装机 / CAAM上牌口径隐含电池量，为水平差常数</f>
        <v/>
      </c>
    </row>
    <row r="3">
      <c r="A3" s="50" t="inlineStr">
        <is>
          <t>A. 商用车电池需求历史与预测（GWh）</t>
        </is>
      </c>
    </row>
    <row r="4">
      <c r="A4" s="44" t="inlineStr">
        <is>
          <t>年份</t>
        </is>
      </c>
      <c r="B4" s="44" t="inlineStr">
        <is>
          <t>商用车电池需求（GWh）</t>
        </is>
      </c>
      <c r="C4" s="44" t="inlineStr">
        <is>
          <t>信源/假设</t>
        </is>
      </c>
    </row>
    <row r="5">
      <c r="A5" s="55" t="n">
        <v>2022</v>
      </c>
      <c r="B5" s="19" t="n">
        <v>30</v>
      </c>
      <c r="C5" s="54" t="inlineStr">
        <is>
          <t>JPM图表读取</t>
        </is>
      </c>
    </row>
    <row r="6">
      <c r="A6" s="55" t="n">
        <v>2023</v>
      </c>
      <c r="B6" s="19" t="n">
        <v>45</v>
      </c>
      <c r="C6" s="54" t="inlineStr">
        <is>
          <t>JPM图表读取</t>
        </is>
      </c>
    </row>
    <row r="7">
      <c r="A7" s="55" t="n">
        <v>2024</v>
      </c>
      <c r="B7" s="19" t="n">
        <v>75</v>
      </c>
      <c r="C7" s="54" t="inlineStr">
        <is>
          <t>JPM图表读取</t>
        </is>
      </c>
    </row>
    <row r="8">
      <c r="A8" s="55" t="n">
        <v>2025</v>
      </c>
      <c r="B8" s="19" t="n">
        <v>135</v>
      </c>
      <c r="C8" s="54" t="inlineStr">
        <is>
          <t>Table 1/GGII</t>
        </is>
      </c>
    </row>
    <row r="9">
      <c r="A9" s="55" t="n">
        <v>2026</v>
      </c>
      <c r="B9" s="19" t="n">
        <v>175</v>
      </c>
      <c r="C9" s="54" t="inlineStr">
        <is>
          <t>JPM预测</t>
        </is>
      </c>
    </row>
    <row r="10">
      <c r="A10" s="55" t="n">
        <v>2027</v>
      </c>
      <c r="B10" s="19" t="n">
        <v>225</v>
      </c>
      <c r="C10" s="54" t="inlineStr">
        <is>
          <t>JPM预测</t>
        </is>
      </c>
    </row>
    <row r="11">
      <c r="A11" s="55" t="n">
        <v>2028</v>
      </c>
      <c r="B11" s="19" t="n">
        <v>280</v>
      </c>
      <c r="C11" s="54" t="inlineStr">
        <is>
          <t>JPM预测</t>
        </is>
      </c>
    </row>
    <row r="12">
      <c r="A12" s="55" t="n">
        <v>2029</v>
      </c>
      <c r="B12" s="19" t="n">
        <v>330</v>
      </c>
      <c r="C12" s="54" t="inlineStr">
        <is>
          <t>JPM预测</t>
        </is>
      </c>
    </row>
    <row r="13">
      <c r="A13" s="55" t="n">
        <v>2030</v>
      </c>
      <c r="B13" s="19" t="n">
        <v>380</v>
      </c>
      <c r="C13" s="54" t="inlineStr">
        <is>
          <t>JPM预测</t>
        </is>
      </c>
    </row>
    <row r="16">
      <c r="A16" s="50" t="inlineStr">
        <is>
          <t>B. 重卡新能源渗透率预测（%）</t>
        </is>
      </c>
    </row>
    <row r="17">
      <c r="A17" s="44" t="inlineStr">
        <is>
          <t>年份</t>
        </is>
      </c>
      <c r="B17" s="44" t="inlineStr">
        <is>
          <t>HDT NEV渗透率（%）</t>
        </is>
      </c>
      <c r="C17" s="44" t="inlineStr">
        <is>
          <t>信源/假设</t>
        </is>
      </c>
    </row>
    <row r="18">
      <c r="A18" s="55" t="n">
        <v>2022</v>
      </c>
      <c r="B18" s="21" t="n">
        <v>0.05</v>
      </c>
      <c r="C18" s="54" t="inlineStr">
        <is>
          <t>CAAM</t>
        </is>
      </c>
    </row>
    <row r="19">
      <c r="A19" s="55" t="n">
        <v>2023</v>
      </c>
      <c r="B19" s="21" t="n">
        <v>0.06</v>
      </c>
      <c r="C19" s="54" t="inlineStr">
        <is>
          <t>CAAM</t>
        </is>
      </c>
    </row>
    <row r="20">
      <c r="A20" s="55" t="n">
        <v>2024</v>
      </c>
      <c r="B20" s="21" t="n">
        <v>0.11</v>
      </c>
      <c r="C20" s="54" t="inlineStr">
        <is>
          <t>CAAM</t>
        </is>
      </c>
    </row>
    <row r="21">
      <c r="A21" s="55" t="n">
        <v>2025</v>
      </c>
      <c r="B21" s="21" t="n">
        <v>0.25</v>
      </c>
      <c r="C21" s="54" t="inlineStr">
        <is>
          <t>CAAM</t>
        </is>
      </c>
    </row>
    <row r="22">
      <c r="A22" s="55" t="n">
        <v>2026</v>
      </c>
      <c r="B22" s="21" t="n">
        <v>0.32</v>
      </c>
      <c r="C22" s="54" t="inlineStr">
        <is>
          <t>JPM预测</t>
        </is>
      </c>
    </row>
    <row r="23">
      <c r="A23" s="55" t="n">
        <v>2027</v>
      </c>
      <c r="B23" s="21" t="n">
        <v>0.38</v>
      </c>
      <c r="C23" s="54" t="inlineStr">
        <is>
          <t>JPM预测</t>
        </is>
      </c>
    </row>
    <row r="24">
      <c r="A24" s="55" t="n">
        <v>2028</v>
      </c>
      <c r="B24" s="21" t="n">
        <v>0.43</v>
      </c>
      <c r="C24" s="54" t="inlineStr">
        <is>
          <t>JPM预测</t>
        </is>
      </c>
    </row>
    <row r="25">
      <c r="A25" s="55" t="n">
        <v>2029</v>
      </c>
      <c r="B25" s="21" t="n">
        <v>0.47</v>
      </c>
      <c r="C25" s="54" t="inlineStr">
        <is>
          <t>JPM预测</t>
        </is>
      </c>
    </row>
    <row r="26">
      <c r="A26" s="55" t="n">
        <v>2030</v>
      </c>
      <c r="B26" s="21" t="n">
        <v>0.5</v>
      </c>
      <c r="C26" s="54" t="inlineStr">
        <is>
          <t>JPM预测</t>
        </is>
      </c>
    </row>
    <row r="29">
      <c r="A29" s="50" t="inlineStr">
        <is>
          <t>C. 自下而上重卡电池需求测算（GWh）</t>
        </is>
      </c>
    </row>
    <row r="30">
      <c r="A30" s="44" t="inlineStr">
        <is>
          <t>年份</t>
        </is>
      </c>
      <c r="B30" s="44" t="inlineStr">
        <is>
          <t>国内重卡销量（千辆）</t>
        </is>
      </c>
      <c r="C30" s="68" t="inlineStr">
        <is>
          <t>NEV渗透率(CAAM,同7.1)</t>
        </is>
      </c>
      <c r="D30" s="44" t="inlineStr">
        <is>
          <t>NEV销量（千辆）</t>
        </is>
      </c>
      <c r="E30" s="44" t="inlineStr">
        <is>
          <t>单车带电量（kWh）</t>
        </is>
      </c>
      <c r="F30" s="44" t="inlineStr">
        <is>
          <t>重卡电池需求（GWh）</t>
        </is>
      </c>
      <c r="G30" s="44" t="inlineStr">
        <is>
          <t>信源</t>
        </is>
      </c>
      <c r="H30" s="56" t="inlineStr">
        <is>
          <t>重卡占商用车电池(校验)</t>
        </is>
      </c>
      <c r="I30" s="63" t="inlineStr">
        <is>
          <t>原文实测</t>
        </is>
      </c>
    </row>
    <row r="31">
      <c r="A31" s="55" t="n">
        <v>2025</v>
      </c>
      <c r="B31" s="57" t="n">
        <v>783</v>
      </c>
      <c r="C31" s="69" t="n">
        <v>0.25</v>
      </c>
      <c r="D31" s="59">
        <f>B31*C31</f>
        <v/>
      </c>
      <c r="E31" s="57" t="n">
        <v>416</v>
      </c>
      <c r="F31" s="59">
        <f>D31*E31/1000*$K$1</f>
        <v/>
      </c>
      <c r="G31" s="60" t="inlineStr">
        <is>
          <t>原文Table1实测锚点</t>
        </is>
      </c>
      <c r="H31" s="61">
        <f>F31/B8</f>
        <v/>
      </c>
      <c r="I31" s="70" t="inlineStr">
        <is>
          <t>69%</t>
        </is>
      </c>
    </row>
    <row r="32">
      <c r="A32" s="55" t="n">
        <v>2026</v>
      </c>
      <c r="B32" s="57" t="n">
        <v>800</v>
      </c>
      <c r="C32" s="69" t="n">
        <v>0.32</v>
      </c>
      <c r="D32" s="59">
        <f>B32*C32</f>
        <v/>
      </c>
      <c r="E32" s="57" t="n">
        <v>425</v>
      </c>
      <c r="F32" s="59">
        <f>D32*E32/1000*$K$1</f>
        <v/>
      </c>
      <c r="G32" s="60" t="inlineStr">
        <is>
          <t>渗透率=7.1原值</t>
        </is>
      </c>
      <c r="H32" s="61">
        <f>F32/B9</f>
        <v/>
      </c>
      <c r="I32" s="70" t="inlineStr">
        <is>
          <t>71%(4M26)</t>
        </is>
      </c>
    </row>
    <row r="33">
      <c r="A33" s="55" t="n">
        <v>2027</v>
      </c>
      <c r="B33" s="57" t="n">
        <v>800</v>
      </c>
      <c r="C33" s="69" t="n">
        <v>0.38</v>
      </c>
      <c r="D33" s="59">
        <f>B33*C33</f>
        <v/>
      </c>
      <c r="E33" s="57" t="n">
        <v>455</v>
      </c>
      <c r="F33" s="59">
        <f>D33*E33/1000*$K$1</f>
        <v/>
      </c>
      <c r="G33" s="60" t="inlineStr">
        <is>
          <t>渗透率=7.1原值</t>
        </is>
      </c>
      <c r="H33" s="61">
        <f>F33/B10</f>
        <v/>
      </c>
    </row>
    <row r="34">
      <c r="A34" s="55" t="n">
        <v>2028</v>
      </c>
      <c r="B34" s="57" t="n">
        <v>820</v>
      </c>
      <c r="C34" s="69" t="n">
        <v>0.43</v>
      </c>
      <c r="D34" s="59">
        <f>B34*C34</f>
        <v/>
      </c>
      <c r="E34" s="57" t="n">
        <v>480</v>
      </c>
      <c r="F34" s="59">
        <f>D34*E34/1000*$K$1</f>
        <v/>
      </c>
      <c r="G34" s="60" t="inlineStr">
        <is>
          <t>渗透率=7.1原值</t>
        </is>
      </c>
      <c r="H34" s="61">
        <f>F34/B11</f>
        <v/>
      </c>
    </row>
    <row r="35">
      <c r="A35" s="55" t="n">
        <v>2029</v>
      </c>
      <c r="B35" s="57" t="n">
        <v>820</v>
      </c>
      <c r="C35" s="69" t="n">
        <v>0.47</v>
      </c>
      <c r="D35" s="59">
        <f>B35*C35</f>
        <v/>
      </c>
      <c r="E35" s="57" t="n">
        <v>510</v>
      </c>
      <c r="F35" s="59">
        <f>D35*E35/1000*$K$1</f>
        <v/>
      </c>
      <c r="G35" s="60" t="inlineStr">
        <is>
          <t>渗透率=7.1原值</t>
        </is>
      </c>
      <c r="H35" s="61">
        <f>F35/B12</f>
        <v/>
      </c>
    </row>
    <row r="36">
      <c r="A36" s="55" t="n">
        <v>2030</v>
      </c>
      <c r="B36" s="57" t="n">
        <v>820</v>
      </c>
      <c r="C36" s="69" t="n">
        <v>0.5</v>
      </c>
      <c r="D36" s="59">
        <f>B36*C36</f>
        <v/>
      </c>
      <c r="E36" s="57" t="n">
        <v>550</v>
      </c>
      <c r="F36" s="59">
        <f>D36*E36/1000*$K$1</f>
        <v/>
      </c>
      <c r="G36" s="60" t="inlineStr">
        <is>
          <t>渗透率=7.1原值(JPM明确~50%)</t>
        </is>
      </c>
      <c r="H36" s="61">
        <f>F36/B13</f>
        <v/>
      </c>
    </row>
    <row r="37">
      <c r="A37" s="49" t="inlineStr">
        <is>
          <t>重卡电池需求 CAGR 2025-2030</t>
        </is>
      </c>
      <c r="F37" s="62">
        <f>(F36/F31)^(1/5)-1</f>
        <v/>
      </c>
    </row>
    <row r="40">
      <c r="A40" s="63" t="inlineStr">
        <is>
          <t>【7.2 二次修订 / 2026-08-10】</t>
        </is>
      </c>
    </row>
    <row r="41">
      <c r="A41" s="0" t="inlineStr">
        <is>
          <t>撤销上一版的两处错误：</t>
        </is>
      </c>
    </row>
    <row r="42">
      <c r="A42" s="0" t="inlineStr"/>
    </row>
    <row r="43">
      <c r="A43" s="0" t="inlineStr">
        <is>
          <t>错误1: 曾把 2025 渗透率从 25% 改为 28.6%，并援引原文 '~29% YTD' 作为佐证。</t>
        </is>
      </c>
    </row>
    <row r="44">
      <c r="A44" s="0" t="inlineStr">
        <is>
          <t xml:space="preserve">  错在张冠李戴: Table1 三列是 2024/2025/4M26，渗透率行 11%/25%/29%，</t>
        </is>
      </c>
    </row>
    <row r="45">
      <c r="A45" s="0" t="inlineStr">
        <is>
          <t xml:space="preserve">  其中 29% 属于 4M26(2026年1-4月)，不是 2025 年。首页 '~29% YTD' 同样指 2026 年。</t>
        </is>
      </c>
    </row>
    <row r="46">
      <c r="A46" s="0" t="inlineStr">
        <is>
          <t xml:space="preserve">  -&gt; C31 回到原文的 25%</t>
        </is>
      </c>
    </row>
    <row r="47">
      <c r="A47" s="0" t="inlineStr"/>
    </row>
    <row r="48">
      <c r="A48" s="0" t="inlineStr">
        <is>
          <t>错误2: 曾把 2030 渗透率外推到 53%。</t>
        </is>
      </c>
    </row>
    <row r="49">
      <c r="A49" s="0" t="inlineStr">
        <is>
          <t xml:space="preserve">  错在违背原文本意: JPM 正文明确 'expect ~50% EV penetration in HDT by 2030'，</t>
        </is>
      </c>
    </row>
    <row r="50">
      <c r="A50" s="0" t="inlineStr">
        <is>
          <t xml:space="preserve">  Figure1 曲线终点亦为 50%。以'GGII口径更高'为由抬高，等于替作者改预测。</t>
        </is>
      </c>
    </row>
    <row r="51">
      <c r="A51" s="0" t="inlineStr">
        <is>
          <t xml:space="preserve">  -&gt; C36 回到原文的 50%</t>
        </is>
      </c>
    </row>
    <row r="52">
      <c r="A52" s="0" t="inlineStr"/>
    </row>
    <row r="53">
      <c r="A53" s="63" t="inlineStr">
        <is>
          <t>附带纠正: 曾声称 GGII/CAAM 口径比'随统计规范化单调收敛'，用原文两期数据即可证伪:</t>
        </is>
      </c>
    </row>
    <row r="54">
      <c r="A54" s="0" t="inlineStr">
        <is>
          <t xml:space="preserve">  2025: GGII(224)/CAAM(192) = 1.167  (GGII 更高)</t>
        </is>
      </c>
    </row>
    <row r="55">
      <c r="A55" s="0" t="inlineStr">
        <is>
          <t xml:space="preserve">  4M26: GGII(72) /CAAM(78)  = 0.923  (GGII 反而更低)</t>
        </is>
      </c>
    </row>
    <row r="56">
      <c r="A56" s="0" t="inlineStr">
        <is>
          <t xml:space="preserve">  两期方向相反，不存在单调收敛规律，那条口径比曲线是硬凑的。</t>
        </is>
      </c>
    </row>
    <row r="57">
      <c r="A57" s="0" t="inlineStr"/>
    </row>
    <row r="58">
      <c r="A58" s="71" t="inlineStr">
        <is>
          <t>【现行口径处理】</t>
        </is>
      </c>
    </row>
    <row r="59">
      <c r="A59" s="0" t="inlineStr">
        <is>
          <t>渗透率/销量 全部直接引用 7.1(CAAM)，JPM 预测原封不动；</t>
        </is>
      </c>
    </row>
    <row r="60">
      <c r="A60" s="0" t="inlineStr">
        <is>
          <t>口径差集中由常数因子 α 承担: α = 93/(195.8x416/1000) = 1.142 (见 K1)</t>
        </is>
      </c>
    </row>
    <row r="61">
      <c r="A61" s="0" t="inlineStr">
        <is>
          <t>α 含义: 同一年 GGII 统计到的电池装机 比 CAAM 上牌口径隐含电池量 高 14.2%</t>
        </is>
      </c>
    </row>
    <row r="62">
      <c r="A62" s="0" t="inlineStr">
        <is>
          <t xml:space="preserve">  差额来自出口车辆电池、统计范围差异、非上牌车辆等。</t>
        </is>
      </c>
    </row>
    <row r="63">
      <c r="A63" s="0" t="inlineStr">
        <is>
          <t>α 为常数而非递增: 这是两套统计体系的'水平差'，不是'增长差'。</t>
        </is>
      </c>
    </row>
    <row r="64">
      <c r="A64" s="63" t="inlineStr">
        <is>
          <t xml:space="preserve">  若让 α 随带电量放大 = 重复计价，会推出 2030 年 651kWh 这类超物理上限的结果。</t>
        </is>
      </c>
    </row>
    <row r="65">
      <c r="A65" s="0" t="inlineStr"/>
    </row>
    <row r="66">
      <c r="A66" s="71" t="inlineStr">
        <is>
          <t>【与 JPM 原文的交叉校验】(OCR 自报告图片还原)</t>
        </is>
      </c>
    </row>
    <row r="67">
      <c r="A67" s="0" t="inlineStr">
        <is>
          <t>Table1 'HDT as % of total CV battery sales': FY25=69%, 4M26=71%</t>
        </is>
      </c>
    </row>
    <row r="68">
      <c r="A68" t="inlineStr">
        <is>
          <t xml:space="preserve">  -&gt; 本表 H31=68.9%, H32=71.0%   两个年份分别命中原文两个实测值</t>
        </is>
      </c>
    </row>
    <row r="69">
      <c r="A69" t="inlineStr">
        <is>
          <t>原文正文 'CV battery demand will reach ~380GWh by 2030'  -&gt; B13=380  吻合</t>
        </is>
      </c>
    </row>
    <row r="70">
      <c r="A70" t="inlineStr">
        <is>
          <t>原文正文 'implying a &gt;20% CAGR'  -&gt; F37=22.6%  吻合</t>
        </is>
      </c>
    </row>
    <row r="71">
      <c r="A71" t="inlineStr">
        <is>
          <t>原文正文 '(2025E: 93GWh)'        -&gt; F31=93.0   吻合</t>
        </is>
      </c>
    </row>
    <row r="72">
      <c r="A72" t="inlineStr">
        <is>
          <t>原文正文 'expect ~50% EV penetration in HDT by 2030' -&gt; C36=50%  一致</t>
        </is>
      </c>
    </row>
    <row r="73">
      <c r="A73" t="inlineStr">
        <is>
          <t>原文 Figure3/4: &gt;500kWh 占比 FY25 19% -&gt; 4M26 31%; 400-500kWh 48%-&gt;35%</t>
        </is>
      </c>
    </row>
    <row r="74">
      <c r="A74" t="inlineStr">
        <is>
          <t xml:space="preserve">  -&gt; 支持带电量 416-&gt;550 的上行路径</t>
        </is>
      </c>
    </row>
    <row r="75">
      <c r="A75" t="inlineStr"/>
    </row>
    <row r="76">
      <c r="A76" s="63" t="inlineStr">
        <is>
          <t>【口径纪律】</t>
        </is>
      </c>
    </row>
    <row r="77">
      <c r="A77" t="inlineStr">
        <is>
          <t>CAAM 批发口径: 含出口+渠道库存 -&gt; 用于看排产、与 7.1 保持一致</t>
        </is>
      </c>
    </row>
    <row r="78">
      <c r="A78" t="inlineStr">
        <is>
          <t>GGII 终端口径: 电池跟车走 -&gt; 电池实测锚点(93GWh/416kWh)出自此口径</t>
        </is>
      </c>
    </row>
    <row r="79">
      <c r="A79" t="inlineStr">
        <is>
          <t>两口径不可在同一行直接相乘；差额须显式固化为可解释、可证伪的参数(α)</t>
        </is>
      </c>
    </row>
    <row r="80"/>
    <row r="81"/>
    <row r="82"/>
    <row r="83"/>
    <row r="84"/>
    <row r="85"/>
    <row r="86"/>
    <row r="87"/>
    <row r="88"/>
    <row r="89"/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2" customWidth="1" style="3" min="1" max="1"/>
    <col width="18" customWidth="1" style="3" min="2" max="2"/>
    <col width="14" customWidth="1" style="3" min="3" max="3"/>
  </cols>
  <sheetData>
    <row r="1">
      <c r="A1" s="42" t="inlineStr">
        <is>
          <t>Figure 2: 顶级电动重卡最大续航里程（km）</t>
        </is>
      </c>
    </row>
    <row r="3">
      <c r="A3" s="44" t="inlineStr">
        <is>
          <t>年份</t>
        </is>
      </c>
      <c r="B3" s="44" t="inlineStr">
        <is>
          <t>最大续航（km）</t>
        </is>
      </c>
      <c r="C3" s="44" t="inlineStr">
        <is>
          <t>信源</t>
        </is>
      </c>
    </row>
    <row r="4">
      <c r="A4" s="55" t="n">
        <v>2021</v>
      </c>
      <c r="B4" s="19" t="n">
        <v>480</v>
      </c>
      <c r="C4" s="54" t="inlineStr">
        <is>
          <t>GGII</t>
        </is>
      </c>
    </row>
    <row r="5">
      <c r="A5" s="55" t="n">
        <v>2023</v>
      </c>
      <c r="B5" s="19" t="n">
        <v>505</v>
      </c>
      <c r="C5" s="54" t="inlineStr">
        <is>
          <t>GGII</t>
        </is>
      </c>
    </row>
    <row r="6">
      <c r="A6" s="55" t="n">
        <v>2025</v>
      </c>
      <c r="B6" s="19" t="n">
        <v>966</v>
      </c>
      <c r="C6" s="54" t="inlineStr">
        <is>
          <t>GGII</t>
        </is>
      </c>
    </row>
    <row r="7">
      <c r="A7" s="55" t="n">
        <v>2026</v>
      </c>
      <c r="B7" s="19" t="n">
        <v>1400</v>
      </c>
      <c r="C7" s="54" t="inlineStr">
        <is>
          <t>GGII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0" customWidth="1" style="3" min="1" max="1"/>
    <col width="14" customWidth="1" style="3" min="2" max="2"/>
  </cols>
  <sheetData>
    <row r="1">
      <c r="A1" s="42" t="inlineStr">
        <is>
          <t>Figure 3: FY25 新能源重卡电池容量结构</t>
        </is>
      </c>
    </row>
    <row r="3">
      <c r="A3" s="44" t="inlineStr">
        <is>
          <t>电池容量区间</t>
        </is>
      </c>
      <c r="B3" s="44" t="inlineStr">
        <is>
          <t>占比（%）</t>
        </is>
      </c>
    </row>
    <row r="4">
      <c r="A4" s="55" t="inlineStr">
        <is>
          <t>&lt;200kWh</t>
        </is>
      </c>
      <c r="B4" s="21" t="n">
        <v>0.01</v>
      </c>
    </row>
    <row r="5">
      <c r="A5" s="55" t="inlineStr">
        <is>
          <t>200-300kWh</t>
        </is>
      </c>
      <c r="B5" s="21" t="n">
        <v>0.09</v>
      </c>
    </row>
    <row r="6">
      <c r="A6" s="55" t="inlineStr">
        <is>
          <t>300-400kWh</t>
        </is>
      </c>
      <c r="B6" s="21" t="n">
        <v>0.23</v>
      </c>
    </row>
    <row r="7">
      <c r="A7" s="55" t="inlineStr">
        <is>
          <t>400-500kWh</t>
        </is>
      </c>
      <c r="B7" s="21" t="n">
        <v>0.48</v>
      </c>
    </row>
    <row r="8">
      <c r="A8" s="55" t="inlineStr">
        <is>
          <t>&gt;500kWh</t>
        </is>
      </c>
      <c r="B8" s="21" t="n">
        <v>0.19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0" customWidth="1" style="3" min="1" max="1"/>
    <col width="14" customWidth="1" style="3" min="2" max="2"/>
  </cols>
  <sheetData>
    <row r="1">
      <c r="A1" s="42" t="inlineStr">
        <is>
          <t>Figure 4: 2026年1-4月 新能源重卡电池容量结构</t>
        </is>
      </c>
    </row>
    <row r="3">
      <c r="A3" s="44" t="inlineStr">
        <is>
          <t>电池容量区间</t>
        </is>
      </c>
      <c r="B3" s="44" t="inlineStr">
        <is>
          <t>占比（%）</t>
        </is>
      </c>
    </row>
    <row r="4">
      <c r="A4" s="55" t="inlineStr">
        <is>
          <t>&lt;200kWh</t>
        </is>
      </c>
      <c r="B4" s="21" t="n">
        <v>0.01</v>
      </c>
    </row>
    <row r="5">
      <c r="A5" s="55" t="inlineStr">
        <is>
          <t>200-300kWh</t>
        </is>
      </c>
      <c r="B5" s="21" t="n">
        <v>0.13</v>
      </c>
    </row>
    <row r="6">
      <c r="A6" s="55" t="inlineStr">
        <is>
          <t>300-400kWh</t>
        </is>
      </c>
      <c r="B6" s="21" t="n">
        <v>0.35</v>
      </c>
    </row>
    <row r="7">
      <c r="A7" s="55" t="inlineStr">
        <is>
          <t>400-500kWh</t>
        </is>
      </c>
      <c r="B7" s="21" t="n">
        <v>0.2</v>
      </c>
    </row>
    <row r="8">
      <c r="A8" s="55" t="inlineStr">
        <is>
          <t>&gt;500kWh</t>
        </is>
      </c>
      <c r="B8" s="21" t="n">
        <v>0.31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0" customWidth="1" style="3" min="1" max="1"/>
    <col width="14" customWidth="1" style="3" min="2" max="2"/>
  </cols>
  <sheetData>
    <row r="1">
      <c r="A1" s="42" t="inlineStr">
        <is>
          <t>Figure 5: FY25 新能源重卡续航结构</t>
        </is>
      </c>
    </row>
    <row r="3">
      <c r="A3" s="44" t="inlineStr">
        <is>
          <t>电池容量区间</t>
        </is>
      </c>
      <c r="B3" s="44" t="inlineStr">
        <is>
          <t>占比（%）</t>
        </is>
      </c>
    </row>
    <row r="4">
      <c r="A4" s="55" t="inlineStr">
        <is>
          <t>&lt;300km</t>
        </is>
      </c>
      <c r="B4" s="21" t="n">
        <v>0.44</v>
      </c>
    </row>
    <row r="5">
      <c r="A5" s="55" t="inlineStr">
        <is>
          <t>300-500km</t>
        </is>
      </c>
      <c r="B5" s="21" t="n">
        <v>0.5</v>
      </c>
    </row>
    <row r="6">
      <c r="A6" s="55" t="inlineStr">
        <is>
          <t>500-700km</t>
        </is>
      </c>
      <c r="B6" s="21" t="n">
        <v>0.04</v>
      </c>
    </row>
    <row r="7">
      <c r="A7" s="55" t="inlineStr">
        <is>
          <t>700-900km</t>
        </is>
      </c>
      <c r="B7" s="21" t="n">
        <v>0</v>
      </c>
    </row>
    <row r="8">
      <c r="A8" s="55" t="inlineStr">
        <is>
          <t>&gt;900km</t>
        </is>
      </c>
      <c r="B8" s="21" t="n">
        <v>0.02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0" customWidth="1" style="3" min="1" max="1"/>
    <col width="14" customWidth="1" style="3" min="2" max="2"/>
  </cols>
  <sheetData>
    <row r="1">
      <c r="A1" s="42" t="inlineStr">
        <is>
          <t>Figure 6: 2026年1-4月 新能源重卡续航结构</t>
        </is>
      </c>
    </row>
    <row r="3">
      <c r="A3" s="44" t="inlineStr">
        <is>
          <t>电池容量区间</t>
        </is>
      </c>
      <c r="B3" s="44" t="inlineStr">
        <is>
          <t>占比（%）</t>
        </is>
      </c>
    </row>
    <row r="4">
      <c r="A4" s="55" t="inlineStr">
        <is>
          <t>&lt;300km</t>
        </is>
      </c>
      <c r="B4" s="21" t="n">
        <v>0.37</v>
      </c>
    </row>
    <row r="5">
      <c r="A5" s="55" t="inlineStr">
        <is>
          <t>300-500km</t>
        </is>
      </c>
      <c r="B5" s="21" t="n">
        <v>0.5</v>
      </c>
    </row>
    <row r="6">
      <c r="A6" s="55" t="inlineStr">
        <is>
          <t>500-700km</t>
        </is>
      </c>
      <c r="B6" s="21" t="n">
        <v>0.07000000000000001</v>
      </c>
    </row>
    <row r="7">
      <c r="A7" s="55" t="inlineStr">
        <is>
          <t>700-900km</t>
        </is>
      </c>
      <c r="B7" s="21" t="n">
        <v>0.02</v>
      </c>
    </row>
    <row r="8">
      <c r="A8" s="55" t="inlineStr">
        <is>
          <t>&gt;900km</t>
        </is>
      </c>
      <c r="B8" s="21" t="n">
        <v>0.04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2" customWidth="1" style="3" min="1" max="1"/>
    <col width="20" customWidth="1" style="3" min="2" max="2"/>
    <col width="24" customWidth="1" style="3" min="3" max="3"/>
    <col width="24" customWidth="1" style="3" min="4" max="4"/>
    <col width="36" customWidth="1" style="3" min="5" max="5"/>
  </cols>
  <sheetData>
    <row r="1">
      <c r="A1" s="42" t="inlineStr">
        <is>
          <t>Table 2: 中国新能源商用车补贴对比（2025 vs 2026）</t>
        </is>
      </c>
    </row>
    <row r="3">
      <c r="A3" s="44" t="inlineStr">
        <is>
          <t>类别</t>
        </is>
      </c>
      <c r="B3" s="44" t="inlineStr">
        <is>
          <t>项目</t>
        </is>
      </c>
      <c r="C3" s="44" t="inlineStr">
        <is>
          <t>2025</t>
        </is>
      </c>
      <c r="D3" s="44" t="inlineStr">
        <is>
          <t>2026</t>
        </is>
      </c>
      <c r="E3" s="44" t="inlineStr">
        <is>
          <t>关键变化</t>
        </is>
      </c>
    </row>
    <row r="4">
      <c r="A4" s="55" t="inlineStr">
        <is>
          <t>购置税</t>
        </is>
      </c>
      <c r="B4" s="55" t="inlineStr">
        <is>
          <t>购置税</t>
        </is>
      </c>
      <c r="C4" s="52" t="inlineStr">
        <is>
          <t>全额免征（0%）</t>
        </is>
      </c>
      <c r="D4" s="52" t="inlineStr">
        <is>
          <t>减半（实际5%）</t>
        </is>
      </c>
      <c r="E4" s="55" t="inlineStr">
        <is>
          <t>优惠减少，但仍无上限</t>
        </is>
      </c>
    </row>
    <row r="5">
      <c r="A5" s="55" t="inlineStr">
        <is>
          <t>以旧换新补贴</t>
        </is>
      </c>
      <c r="B5" s="55" t="inlineStr">
        <is>
          <t>可报废车辆</t>
        </is>
      </c>
      <c r="C5" s="52" t="inlineStr">
        <is>
          <t>国三及以下柴油商用车</t>
        </is>
      </c>
      <c r="D5" s="52" t="inlineStr">
        <is>
          <t>国三、国四柴油商用车</t>
        </is>
      </c>
      <c r="E5" s="55" t="inlineStr">
        <is>
          <t>覆盖范围显著扩大</t>
        </is>
      </c>
    </row>
    <row r="6">
      <c r="A6" s="55" t="inlineStr"/>
      <c r="B6" s="55" t="inlineStr">
        <is>
          <t>报废补贴</t>
        </is>
      </c>
      <c r="C6" s="25" t="n">
        <v>45000</v>
      </c>
      <c r="D6" s="25" t="n">
        <v>45000</v>
      </c>
      <c r="E6" s="55" t="inlineStr">
        <is>
          <t>不变</t>
        </is>
      </c>
    </row>
    <row r="7">
      <c r="A7" s="55" t="inlineStr"/>
      <c r="B7" s="55" t="inlineStr">
        <is>
          <t>新能源重卡购置补贴</t>
        </is>
      </c>
      <c r="C7" s="25" t="n">
        <v>95000</v>
      </c>
      <c r="D7" s="25" t="n">
        <v>95000</v>
      </c>
      <c r="E7" s="55" t="inlineStr">
        <is>
          <t>不变</t>
        </is>
      </c>
    </row>
    <row r="8">
      <c r="A8" s="55" t="inlineStr"/>
      <c r="B8" s="55" t="inlineStr">
        <is>
          <t>单车补贴合计上限</t>
        </is>
      </c>
      <c r="C8" s="25" t="n">
        <v>140000</v>
      </c>
      <c r="D8" s="25" t="n">
        <v>140000</v>
      </c>
      <c r="E8" s="55" t="inlineStr">
        <is>
          <t>不变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0" customWidth="1" style="3" min="1" max="1"/>
    <col width="18" customWidth="1" style="3" min="2" max="2"/>
    <col width="24" customWidth="1" style="3" min="3" max="3"/>
  </cols>
  <sheetData>
    <row r="1">
      <c r="A1" s="42" t="inlineStr">
        <is>
          <t>Figure 8: 重卡每百公里运营成本（Rmb/100km）</t>
        </is>
      </c>
    </row>
    <row r="3">
      <c r="A3" s="44" t="inlineStr">
        <is>
          <t>动力类型</t>
        </is>
      </c>
      <c r="B3" s="44" t="inlineStr">
        <is>
          <t>成本（Rmb/100km）</t>
        </is>
      </c>
      <c r="C3" s="44" t="inlineStr">
        <is>
          <t>说明</t>
        </is>
      </c>
    </row>
    <row r="4">
      <c r="A4" s="55" t="inlineStr">
        <is>
          <t>电动</t>
        </is>
      </c>
      <c r="B4" s="19" t="n">
        <v>128</v>
      </c>
      <c r="C4" s="54" t="inlineStr">
        <is>
          <t>JPM估算</t>
        </is>
      </c>
    </row>
    <row r="5">
      <c r="A5" s="55" t="inlineStr">
        <is>
          <t>LNG-2025年均价</t>
        </is>
      </c>
      <c r="B5" s="19" t="n">
        <v>147</v>
      </c>
      <c r="C5" s="54" t="inlineStr">
        <is>
          <t>LNG 4.2元/kg</t>
        </is>
      </c>
    </row>
    <row r="6">
      <c r="A6" s="55" t="inlineStr">
        <is>
          <t>LNG-现价</t>
        </is>
      </c>
      <c r="B6" s="19" t="n">
        <v>217</v>
      </c>
      <c r="C6" s="54" t="inlineStr">
        <is>
          <t>LNG 6.2元/kg</t>
        </is>
      </c>
    </row>
    <row r="7">
      <c r="A7" s="55" t="inlineStr">
        <is>
          <t>柴油</t>
        </is>
      </c>
      <c r="B7" s="19" t="n">
        <v>287</v>
      </c>
      <c r="C7" s="54" t="inlineStr">
        <is>
          <t>JPM估算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14" customWidth="1" style="3" min="1" max="1"/>
    <col width="18" customWidth="1" style="3" min="2" max="2"/>
    <col width="18" customWidth="1" style="3" min="3" max="3"/>
  </cols>
  <sheetData>
    <row r="1">
      <c r="A1" s="42" t="inlineStr">
        <is>
          <t>Figure 10: 2026年1-5月 电动 vs LNG 重卡渗透率</t>
        </is>
      </c>
    </row>
    <row r="3">
      <c r="A3" s="44" t="inlineStr">
        <is>
          <t>月份</t>
        </is>
      </c>
      <c r="B3" s="44" t="inlineStr">
        <is>
          <t>电动重卡渗透率</t>
        </is>
      </c>
      <c r="C3" s="44" t="inlineStr">
        <is>
          <t>LNG重卡渗透率</t>
        </is>
      </c>
    </row>
    <row r="4">
      <c r="A4" s="55" t="inlineStr">
        <is>
          <t>2026-01</t>
        </is>
      </c>
      <c r="B4" s="21" t="n">
        <v>0.29</v>
      </c>
      <c r="C4" s="21" t="n">
        <v>0.33</v>
      </c>
    </row>
    <row r="5">
      <c r="A5" s="55" t="inlineStr">
        <is>
          <t>2026-02</t>
        </is>
      </c>
      <c r="B5" s="21" t="n">
        <v>0.25</v>
      </c>
      <c r="C5" s="21" t="n">
        <v>0.32</v>
      </c>
    </row>
    <row r="6">
      <c r="A6" s="55" t="inlineStr">
        <is>
          <t>2026-03</t>
        </is>
      </c>
      <c r="B6" s="21" t="n">
        <v>0.26</v>
      </c>
      <c r="C6" s="21" t="n">
        <v>0.35</v>
      </c>
    </row>
    <row r="7">
      <c r="A7" s="55" t="inlineStr">
        <is>
          <t>2026-04</t>
        </is>
      </c>
      <c r="B7" s="21" t="n">
        <v>0.3</v>
      </c>
      <c r="C7" s="21" t="n">
        <v>0.37</v>
      </c>
    </row>
    <row r="8">
      <c r="A8" s="55" t="inlineStr">
        <is>
          <t>2026-05</t>
        </is>
      </c>
      <c r="B8" s="21" t="n">
        <v>0.4</v>
      </c>
      <c r="C8" s="21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25.6328" customWidth="1" style="3" min="1" max="1"/>
    <col width="13.1211" customWidth="1" style="3" min="2" max="2"/>
    <col width="13.1211" customWidth="1" style="3" min="3" max="3"/>
    <col width="13.1211" customWidth="1" style="3" min="4" max="4"/>
    <col width="35.8125" customWidth="1" style="3" min="5" max="5"/>
  </cols>
  <sheetData>
    <row r="1">
      <c r="A1" s="42" t="inlineStr">
        <is>
          <t>Table 3: TCO 对比——基准情景（LNG 6.2元/kg，有补贴）</t>
        </is>
      </c>
    </row>
    <row r="3">
      <c r="A3" s="50" t="inlineStr">
        <is>
          <t>核心假设参数</t>
        </is>
      </c>
    </row>
    <row r="4">
      <c r="A4" s="44" t="inlineStr">
        <is>
          <t>参数</t>
        </is>
      </c>
      <c r="B4" s="44" t="inlineStr">
        <is>
          <t>电动</t>
        </is>
      </c>
      <c r="C4" s="44" t="inlineStr">
        <is>
          <t>LNG</t>
        </is>
      </c>
      <c r="D4" s="44" t="inlineStr">
        <is>
          <t>柴油</t>
        </is>
      </c>
      <c r="E4" s="44" t="inlineStr">
        <is>
          <t>说明</t>
        </is>
      </c>
    </row>
    <row r="5">
      <c r="A5" s="51" t="inlineStr">
        <is>
          <t>购置价（Rmb）</t>
        </is>
      </c>
      <c r="B5" s="25" t="n">
        <v>700000</v>
      </c>
      <c r="C5" s="25" t="n">
        <v>450000</v>
      </c>
      <c r="D5" s="25" t="n">
        <v>400000</v>
      </c>
      <c r="E5" s="54" t="inlineStr"/>
    </row>
    <row r="6">
      <c r="A6" s="51" t="inlineStr">
        <is>
          <t>购置税率（%）</t>
        </is>
      </c>
      <c r="B6" s="25" t="n">
        <v>5</v>
      </c>
      <c r="C6" s="25" t="n">
        <v>10</v>
      </c>
      <c r="D6" s="25" t="n">
        <v>10</v>
      </c>
      <c r="E6" s="54" t="inlineStr"/>
    </row>
    <row r="7">
      <c r="A7" s="51" t="inlineStr">
        <is>
          <t>购置补贴（Rmb）</t>
        </is>
      </c>
      <c r="B7" s="25" t="n">
        <v>140000</v>
      </c>
      <c r="C7" s="25" t="n">
        <v>110000</v>
      </c>
      <c r="D7" s="25" t="n">
        <v>110000</v>
      </c>
      <c r="E7" s="54" t="inlineStr"/>
    </row>
    <row r="8">
      <c r="A8" s="51" t="inlineStr">
        <is>
          <t>年行驶里程（km）</t>
        </is>
      </c>
      <c r="B8" s="25" t="n">
        <v>150000</v>
      </c>
      <c r="C8" s="25" t="n">
        <v>150000</v>
      </c>
      <c r="D8" s="25" t="n">
        <v>150000</v>
      </c>
      <c r="E8" s="54" t="inlineStr"/>
    </row>
    <row r="9">
      <c r="A9" s="51" t="inlineStr">
        <is>
          <t>单位能耗（kWh/kg/L / km）</t>
        </is>
      </c>
      <c r="B9" s="26" t="n">
        <v>1.5</v>
      </c>
      <c r="C9" s="41" t="n">
        <v>0.35</v>
      </c>
      <c r="D9" s="40" t="n">
        <v>0.377631578947369</v>
      </c>
      <c r="E9" s="54" t="inlineStr">
        <is>
          <t>电：kWh/km；LNG：kg/km；柴油：L/km</t>
        </is>
      </c>
      <c r="F9" s="0">
        <f>=F11/D10</f>
        <v/>
      </c>
    </row>
    <row r="10">
      <c r="A10" s="51" t="inlineStr">
        <is>
          <t>能源单价（Rmb / kWh,kg,L）</t>
        </is>
      </c>
      <c r="B10" s="26" t="n">
        <v>0.85</v>
      </c>
      <c r="C10" s="26" t="n">
        <v>6.2</v>
      </c>
      <c r="D10" s="26" t="n">
        <v>7.6</v>
      </c>
      <c r="E10" s="54" t="inlineStr"/>
    </row>
    <row r="11">
      <c r="A11" s="51" t="inlineStr">
        <is>
          <t>单位里程能源成本（Rmb/km）</t>
        </is>
      </c>
      <c r="B11" s="64">
        <f>=B9*B10</f>
        <v/>
      </c>
      <c r="C11" s="64">
        <f>=C9*C10</f>
        <v/>
      </c>
      <c r="D11" s="64">
        <f>=D9*D10</f>
        <v/>
      </c>
      <c r="E11" s="29" t="inlineStr">
        <is>
          <t>‘’=单位能耗×能源单价,按原表单价计算LNG,diesel值＞原表数，倒算3种情形单位公里能耗值r9，精确到小数点后2位，发现一致，所以修改r9</t>
        </is>
      </c>
      <c r="F11" s="0">
        <f>=E18/D8</f>
        <v/>
      </c>
    </row>
    <row r="12">
      <c r="A12" s="51" t="inlineStr">
        <is>
          <t>年维护成本（Rmb）</t>
        </is>
      </c>
      <c r="B12" s="25" t="n">
        <v>15000</v>
      </c>
      <c r="C12" s="25" t="n">
        <v>25000</v>
      </c>
      <c r="D12" s="25" t="n">
        <v>30000</v>
      </c>
      <c r="E12" s="54" t="inlineStr"/>
    </row>
    <row r="13">
      <c r="A13" s="51" t="inlineStr">
        <is>
          <t>年载重损失成本（Rmb）</t>
        </is>
      </c>
      <c r="B13" s="25" t="n">
        <v>70000</v>
      </c>
      <c r="C13" s="25" t="n">
        <v>15000</v>
      </c>
      <c r="D13" s="25" t="n">
        <v>0</v>
      </c>
      <c r="E13" s="54" t="inlineStr"/>
    </row>
    <row r="15">
      <c r="A15" s="50" t="inlineStr">
        <is>
          <t>计算结果</t>
        </is>
      </c>
    </row>
    <row r="16">
      <c r="A16" s="44" t="inlineStr">
        <is>
          <t>项目</t>
        </is>
      </c>
      <c r="B16" s="44" t="inlineStr">
        <is>
          <t>电动</t>
        </is>
      </c>
      <c r="C16" s="44" t="inlineStr">
        <is>
          <t>LNG</t>
        </is>
      </c>
      <c r="D16" s="44" t="inlineStr">
        <is>
          <t>柴油</t>
        </is>
      </c>
      <c r="E16" s="44" t="inlineStr">
        <is>
          <t>说明</t>
        </is>
      </c>
    </row>
    <row r="17">
      <c r="A17" s="55" t="inlineStr">
        <is>
          <t>购置总成本（Rmb）</t>
        </is>
      </c>
      <c r="B17" s="27">
        <f>=B5*(1+B6/100)-B7</f>
        <v/>
      </c>
      <c r="C17" s="27">
        <f>=C5*(1+C6/100)-C7</f>
        <v/>
      </c>
      <c r="D17" s="27">
        <f>=D5*(1+D6/100)-D7</f>
        <v/>
      </c>
    </row>
    <row r="18">
      <c r="A18" s="55" t="inlineStr">
        <is>
          <t>年能源成本（Rmb）</t>
        </is>
      </c>
      <c r="B18" s="27">
        <f>=B8*B11</f>
        <v/>
      </c>
      <c r="C18" s="27">
        <f>=C8*C11</f>
        <v/>
      </c>
      <c r="D18" s="27">
        <f>=D8*D11</f>
        <v/>
      </c>
      <c r="E18" s="0">
        <f>=E19-D12-D13</f>
        <v/>
      </c>
    </row>
    <row r="19">
      <c r="A19" s="55" t="inlineStr">
        <is>
          <t>年运营成本（Rmb）</t>
        </is>
      </c>
      <c r="B19" s="27">
        <f>=B18+B12+B13</f>
        <v/>
      </c>
      <c r="C19" s="27">
        <f>=C18+C12+C13</f>
        <v/>
      </c>
      <c r="D19" s="27">
        <f>=D18+D12+D13</f>
        <v/>
      </c>
      <c r="E19" s="0">
        <f>=(E20-D17)/3</f>
        <v/>
      </c>
    </row>
    <row r="20">
      <c r="A20" s="55" t="inlineStr">
        <is>
          <t>TCO 3年（Rmb）</t>
        </is>
      </c>
      <c r="B20" s="27">
        <f>=B17+B19*3</f>
        <v/>
      </c>
      <c r="C20" s="27">
        <f>=C17+C19*3</f>
        <v/>
      </c>
      <c r="D20" s="27">
        <f>=D17+D19*3</f>
        <v/>
      </c>
      <c r="E20" s="0" t="n">
        <v>1712418</v>
      </c>
    </row>
    <row r="21">
      <c r="A21" s="55" t="inlineStr">
        <is>
          <t>TCO 5年（Rmb）</t>
        </is>
      </c>
      <c r="B21" s="27">
        <f>=B17+B19*5</f>
        <v/>
      </c>
      <c r="C21" s="27">
        <f>=C17+C19*5</f>
        <v/>
      </c>
      <c r="D21" s="27">
        <f>=D17+D19*5</f>
        <v/>
      </c>
      <c r="E21" s="0">
        <f>=E19*5</f>
        <v/>
      </c>
    </row>
    <row r="22">
      <c r="A22" s="55" t="inlineStr">
        <is>
          <t>TCO 8年（Rmb）</t>
        </is>
      </c>
      <c r="B22" s="27">
        <f>=B17+B19*8</f>
        <v/>
      </c>
      <c r="C22" s="27">
        <f>=C17+C19*8</f>
        <v/>
      </c>
      <c r="D22" s="27">
        <f>=D17+D19*8</f>
        <v/>
      </c>
    </row>
    <row r="23">
      <c r="A23" s="55" t="inlineStr">
        <is>
          <t>TCO 10年（Rmb）</t>
        </is>
      </c>
      <c r="B23" s="27">
        <f>=B17+B19*10</f>
        <v/>
      </c>
      <c r="C23" s="27">
        <f>=C17+C19*10</f>
        <v/>
      </c>
      <c r="D23" s="27">
        <f>=D17+D19*10</f>
        <v/>
      </c>
    </row>
    <row r="24">
      <c r="A24" s="55" t="inlineStr"/>
      <c r="B24" s="55" t="inlineStr"/>
      <c r="C24" s="55" t="inlineStr"/>
      <c r="D24" s="55" t="inlineStr"/>
    </row>
    <row r="25">
      <c r="A25" s="55" t="inlineStr">
        <is>
          <t>电动 vs LNG 差异（3年）</t>
        </is>
      </c>
      <c r="B25" s="65">
        <f>=(B20-C20)/C20</f>
        <v/>
      </c>
      <c r="C25" s="55" t="inlineStr"/>
      <c r="D25" s="55" t="inlineStr"/>
    </row>
    <row r="26">
      <c r="A26" s="55" t="inlineStr">
        <is>
          <t>电动 vs LNG 差异（5年）</t>
        </is>
      </c>
      <c r="B26" s="65">
        <f>=(B21-C21)/C21</f>
        <v/>
      </c>
      <c r="C26" s="55" t="inlineStr"/>
      <c r="D26" s="55" t="inlineStr"/>
    </row>
    <row r="27">
      <c r="A27" s="55" t="inlineStr">
        <is>
          <t>电动 vs LNG 差异（8年）</t>
        </is>
      </c>
      <c r="B27" s="65">
        <f>=(B22-C22)/C22</f>
        <v/>
      </c>
      <c r="C27" s="55" t="inlineStr"/>
      <c r="D27" s="55" t="inlineStr"/>
    </row>
    <row r="28">
      <c r="A28" s="55" t="inlineStr">
        <is>
          <t>电动 vs LNG 差异（10年）</t>
        </is>
      </c>
      <c r="B28" s="65">
        <f>=(B23-C23)/C23</f>
        <v/>
      </c>
      <c r="C28" s="55" t="inlineStr"/>
      <c r="D28" s="55" t="inlineStr"/>
    </row>
    <row r="29">
      <c r="A29" s="55" t="inlineStr">
        <is>
          <t>电动 vs 柴油 差异（3年）</t>
        </is>
      </c>
      <c r="B29" s="65">
        <f>=(B20-D20)/D20</f>
        <v/>
      </c>
      <c r="C29" s="55" t="inlineStr"/>
      <c r="D29" s="55" t="inlineStr"/>
    </row>
    <row r="30">
      <c r="A30" s="55" t="inlineStr">
        <is>
          <t>电动 vs 柴油 差异（5年）</t>
        </is>
      </c>
      <c r="B30" s="65">
        <f>=(B21-D21)/D21</f>
        <v/>
      </c>
      <c r="C30" s="55" t="inlineStr"/>
      <c r="D30" s="55" t="inlineStr"/>
    </row>
    <row r="31">
      <c r="A31" s="55" t="inlineStr">
        <is>
          <t>电动 vs 柴油 差异（8年）</t>
        </is>
      </c>
      <c r="B31" s="65">
        <f>=(B22-D22)/D22</f>
        <v/>
      </c>
      <c r="C31" s="55" t="inlineStr"/>
      <c r="D31" s="55" t="inlineStr"/>
    </row>
    <row r="32">
      <c r="A32" s="55" t="inlineStr">
        <is>
          <t>电动 vs 柴油 差异（10年）</t>
        </is>
      </c>
      <c r="B32" s="65">
        <f>=(B23-D23)/D23</f>
        <v/>
      </c>
      <c r="C32" s="55" t="inlineStr"/>
      <c r="D32" s="5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26" customWidth="1" style="3" min="1" max="1"/>
    <col width="12.3828" customWidth="1" style="3" min="2" max="2"/>
    <col width="12.3828" customWidth="1" style="3" min="3" max="3"/>
    <col width="12.3828" customWidth="1" style="3" min="4" max="4"/>
    <col width="8.83203" customWidth="1" style="3" min="5" max="5"/>
  </cols>
  <sheetData>
    <row r="1">
      <c r="A1" s="42" t="inlineStr">
        <is>
          <t>Table 4: TCO 对比——低 LNG 价格情景（LNG 4.2元/kg，有补贴）</t>
        </is>
      </c>
    </row>
    <row r="3">
      <c r="A3" s="50" t="inlineStr">
        <is>
          <t>核心假设参数</t>
        </is>
      </c>
    </row>
    <row r="4">
      <c r="A4" s="44" t="inlineStr">
        <is>
          <t>参数</t>
        </is>
      </c>
      <c r="B4" s="44" t="inlineStr">
        <is>
          <t>电动</t>
        </is>
      </c>
      <c r="C4" s="44" t="inlineStr">
        <is>
          <t>LNG</t>
        </is>
      </c>
      <c r="D4" s="44" t="inlineStr">
        <is>
          <t>柴油</t>
        </is>
      </c>
      <c r="E4" s="44" t="inlineStr">
        <is>
          <t>说明</t>
        </is>
      </c>
    </row>
    <row r="5">
      <c r="A5" s="51" t="inlineStr">
        <is>
          <t>购置价（Rmb）</t>
        </is>
      </c>
      <c r="B5" s="25" t="n">
        <v>700000</v>
      </c>
      <c r="C5" s="25" t="n">
        <v>450000</v>
      </c>
      <c r="D5" s="25" t="n">
        <v>400000</v>
      </c>
      <c r="E5" s="54" t="inlineStr"/>
    </row>
    <row r="6">
      <c r="A6" s="51" t="inlineStr">
        <is>
          <t>购置税率（%）</t>
        </is>
      </c>
      <c r="B6" s="25" t="n">
        <v>5</v>
      </c>
      <c r="C6" s="25" t="n">
        <v>10</v>
      </c>
      <c r="D6" s="25" t="n">
        <v>10</v>
      </c>
      <c r="E6" s="54" t="inlineStr"/>
    </row>
    <row r="7">
      <c r="A7" s="51" t="inlineStr">
        <is>
          <t>购置补贴（Rmb）</t>
        </is>
      </c>
      <c r="B7" s="25" t="n">
        <v>140000</v>
      </c>
      <c r="C7" s="25" t="n">
        <v>110000</v>
      </c>
      <c r="D7" s="25" t="n">
        <v>110000</v>
      </c>
      <c r="E7" s="54" t="inlineStr"/>
    </row>
    <row r="8">
      <c r="A8" s="51" t="inlineStr">
        <is>
          <t>年行驶里程（km）</t>
        </is>
      </c>
      <c r="B8" s="25" t="n">
        <v>150000</v>
      </c>
      <c r="C8" s="25" t="n">
        <v>150000</v>
      </c>
      <c r="D8" s="25" t="n">
        <v>150000</v>
      </c>
      <c r="E8" s="54" t="inlineStr"/>
    </row>
    <row r="9">
      <c r="A9" s="51" t="inlineStr">
        <is>
          <t>单位能耗（kWh/kg/L / km）</t>
        </is>
      </c>
      <c r="B9" s="26" t="n">
        <v>1.5</v>
      </c>
      <c r="C9" s="26">
        <f>=Table3_TCO基准情景!C9</f>
        <v/>
      </c>
      <c r="D9" s="26">
        <f>=Table3_TCO基准情景!D9</f>
        <v/>
      </c>
      <c r="E9" s="54" t="inlineStr">
        <is>
          <t>电：kWh/km；LNG：kg/km；柴油：L/km</t>
        </is>
      </c>
      <c r="F9" s="0">
        <f>=F11/D10</f>
        <v/>
      </c>
    </row>
    <row r="10">
      <c r="A10" s="51" t="inlineStr">
        <is>
          <t>能源单价（Rmb / kWh,kg,L）</t>
        </is>
      </c>
      <c r="B10" s="26" t="n">
        <v>0.85</v>
      </c>
      <c r="C10" s="26" t="n">
        <v>4.2</v>
      </c>
      <c r="D10" s="26" t="n">
        <v>7.6</v>
      </c>
      <c r="E10" s="54" t="inlineStr"/>
    </row>
    <row r="11">
      <c r="A11" s="51" t="inlineStr">
        <is>
          <t>单位里程能源成本（Rmb/km）</t>
        </is>
      </c>
      <c r="B11" s="64">
        <f>=B9*B10</f>
        <v/>
      </c>
      <c r="C11" s="64">
        <f>=C9*C10</f>
        <v/>
      </c>
      <c r="D11" s="64">
        <f>=D9*D10</f>
        <v/>
      </c>
      <c r="E11" s="54">
        <f>=单位能耗×能源单价</f>
        <v/>
      </c>
      <c r="F11" s="0">
        <f>=E18/D8</f>
        <v/>
      </c>
    </row>
    <row r="12">
      <c r="A12" s="51" t="inlineStr">
        <is>
          <t>年维护成本（Rmb）</t>
        </is>
      </c>
      <c r="B12" s="25" t="n">
        <v>15000</v>
      </c>
      <c r="C12" s="25" t="n">
        <v>25000</v>
      </c>
      <c r="D12" s="25" t="n">
        <v>30000</v>
      </c>
      <c r="E12" s="54" t="inlineStr"/>
    </row>
    <row r="13">
      <c r="A13" s="51" t="inlineStr">
        <is>
          <t>年载重损失成本（Rmb）</t>
        </is>
      </c>
      <c r="B13" s="25" t="n">
        <v>70000</v>
      </c>
      <c r="C13" s="25" t="n">
        <v>15000</v>
      </c>
      <c r="D13" s="25" t="n">
        <v>0</v>
      </c>
      <c r="E13" s="54" t="inlineStr"/>
    </row>
    <row r="15">
      <c r="A15" s="50" t="inlineStr">
        <is>
          <t>计算结果</t>
        </is>
      </c>
    </row>
    <row r="16">
      <c r="A16" s="44" t="inlineStr">
        <is>
          <t>项目</t>
        </is>
      </c>
      <c r="B16" s="44" t="inlineStr">
        <is>
          <t>电动</t>
        </is>
      </c>
      <c r="C16" s="44" t="inlineStr">
        <is>
          <t>LNG</t>
        </is>
      </c>
      <c r="D16" s="44" t="inlineStr">
        <is>
          <t>柴油</t>
        </is>
      </c>
      <c r="E16" s="44" t="inlineStr">
        <is>
          <t>说明</t>
        </is>
      </c>
    </row>
    <row r="17">
      <c r="A17" s="55" t="inlineStr">
        <is>
          <t>购置总成本（Rmb）</t>
        </is>
      </c>
      <c r="B17" s="27">
        <f>=B5*(1+B6/100)-B7</f>
        <v/>
      </c>
      <c r="C17" s="27">
        <f>=C5*(1+C6/100)-C7</f>
        <v/>
      </c>
      <c r="D17" s="27">
        <f>=D5*(1+D6/100)-D7</f>
        <v/>
      </c>
    </row>
    <row r="18">
      <c r="A18" s="55" t="inlineStr">
        <is>
          <t>年能源成本（Rmb）</t>
        </is>
      </c>
      <c r="B18" s="27">
        <f>=B8*B11</f>
        <v/>
      </c>
      <c r="C18" s="27">
        <f>=C8*C11</f>
        <v/>
      </c>
      <c r="D18" s="27">
        <f>=D8*D11</f>
        <v/>
      </c>
      <c r="E18" s="0">
        <f>=E19-D12-D13</f>
        <v/>
      </c>
    </row>
    <row r="19">
      <c r="A19" s="55" t="inlineStr">
        <is>
          <t>年运营成本（Rmb）</t>
        </is>
      </c>
      <c r="B19" s="27">
        <f>=B18+B12+B13</f>
        <v/>
      </c>
      <c r="C19" s="27">
        <f>=C18+C12+C13</f>
        <v/>
      </c>
      <c r="D19" s="27">
        <f>=D18+D12+D13</f>
        <v/>
      </c>
      <c r="E19" s="0">
        <f>=(E20-D17)/3</f>
        <v/>
      </c>
    </row>
    <row r="20">
      <c r="A20" s="55" t="inlineStr">
        <is>
          <t>TCO 3年（Rmb）</t>
        </is>
      </c>
      <c r="B20" s="27">
        <f>=B17+B19*3</f>
        <v/>
      </c>
      <c r="C20" s="27">
        <f>=C17+C19*3</f>
        <v/>
      </c>
      <c r="D20" s="27">
        <f>=D17+D19*3</f>
        <v/>
      </c>
      <c r="E20" s="0" t="n">
        <v>1712418</v>
      </c>
    </row>
    <row r="21">
      <c r="A21" s="55" t="inlineStr">
        <is>
          <t>TCO 5年（Rmb）</t>
        </is>
      </c>
      <c r="B21" s="27">
        <f>=B17+B19*5</f>
        <v/>
      </c>
      <c r="C21" s="27">
        <f>=C17+C19*5</f>
        <v/>
      </c>
      <c r="D21" s="27">
        <f>=D17+D19*5</f>
        <v/>
      </c>
    </row>
    <row r="22">
      <c r="A22" s="55" t="inlineStr">
        <is>
          <t>TCO 8年（Rmb）</t>
        </is>
      </c>
      <c r="B22" s="27">
        <f>=B17+B19*8</f>
        <v/>
      </c>
      <c r="C22" s="27">
        <f>=C17+C19*8</f>
        <v/>
      </c>
      <c r="D22" s="27">
        <f>=D17+D19*8</f>
        <v/>
      </c>
    </row>
    <row r="23">
      <c r="A23" s="55" t="inlineStr">
        <is>
          <t>TCO 10年（Rmb）</t>
        </is>
      </c>
      <c r="B23" s="27">
        <f>=B17+B19*10</f>
        <v/>
      </c>
      <c r="C23" s="27">
        <f>=C17+C19*10</f>
        <v/>
      </c>
      <c r="D23" s="27">
        <f>=D17+D19*10</f>
        <v/>
      </c>
    </row>
    <row r="24">
      <c r="A24" s="55" t="inlineStr"/>
      <c r="B24" s="55" t="inlineStr"/>
      <c r="C24" s="55" t="inlineStr"/>
      <c r="D24" s="55" t="inlineStr"/>
    </row>
    <row r="25">
      <c r="A25" s="55" t="inlineStr">
        <is>
          <t>电动 vs LNG 差异（3年）</t>
        </is>
      </c>
      <c r="B25" s="65">
        <f>=(B20-C20)/C20</f>
        <v/>
      </c>
      <c r="C25" s="55" t="inlineStr"/>
      <c r="D25" s="55" t="inlineStr"/>
    </row>
    <row r="26">
      <c r="A26" s="55" t="inlineStr">
        <is>
          <t>电动 vs LNG 差异（5年）</t>
        </is>
      </c>
      <c r="B26" s="65">
        <f>=(B21-C21)/C21</f>
        <v/>
      </c>
      <c r="C26" s="55" t="inlineStr"/>
      <c r="D26" s="55" t="inlineStr"/>
    </row>
    <row r="27">
      <c r="A27" s="55" t="inlineStr">
        <is>
          <t>电动 vs LNG 差异（8年）</t>
        </is>
      </c>
      <c r="B27" s="65">
        <f>=(B22-C22)/C22</f>
        <v/>
      </c>
      <c r="C27" s="55" t="inlineStr"/>
      <c r="D27" s="55" t="inlineStr"/>
    </row>
    <row r="28">
      <c r="A28" s="55" t="inlineStr">
        <is>
          <t>电动 vs LNG 差异（10年）</t>
        </is>
      </c>
      <c r="B28" s="65">
        <f>=(B23-C23)/C23</f>
        <v/>
      </c>
      <c r="C28" s="55" t="inlineStr"/>
      <c r="D28" s="55" t="inlineStr"/>
    </row>
    <row r="29">
      <c r="A29" s="55" t="inlineStr">
        <is>
          <t>电动 vs 柴油 差异（3年）</t>
        </is>
      </c>
      <c r="B29" s="65">
        <f>=(B20-D20)/D20</f>
        <v/>
      </c>
      <c r="C29" s="55" t="inlineStr"/>
      <c r="D29" s="55" t="inlineStr"/>
    </row>
    <row r="30">
      <c r="A30" s="55" t="inlineStr">
        <is>
          <t>电动 vs 柴油 差异（5年）</t>
        </is>
      </c>
      <c r="B30" s="65">
        <f>=(B21-D21)/D21</f>
        <v/>
      </c>
      <c r="C30" s="55" t="inlineStr"/>
      <c r="D30" s="55" t="inlineStr"/>
    </row>
    <row r="31">
      <c r="A31" s="55" t="inlineStr">
        <is>
          <t>电动 vs 柴油 差异（8年）</t>
        </is>
      </c>
      <c r="B31" s="65">
        <f>=(B22-D22)/D22</f>
        <v/>
      </c>
      <c r="C31" s="55" t="inlineStr"/>
      <c r="D31" s="55" t="inlineStr"/>
    </row>
    <row r="32">
      <c r="A32" s="55" t="inlineStr">
        <is>
          <t>电动 vs 柴油 差异（10年）</t>
        </is>
      </c>
      <c r="B32" s="65">
        <f>=(B23-D23)/D23</f>
        <v/>
      </c>
      <c r="C32" s="55" t="inlineStr"/>
      <c r="D32" s="5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2" customWidth="1" style="3" min="1" max="1"/>
    <col width="20" customWidth="1" style="3" min="2" max="2"/>
    <col width="20" customWidth="1" style="3" min="3" max="3"/>
    <col width="20" customWidth="1" style="3" min="4" max="4"/>
    <col width="28" customWidth="1" style="3" min="5" max="5"/>
  </cols>
  <sheetData>
    <row r="1">
      <c r="A1" s="42" t="inlineStr">
        <is>
          <t>Table 5: TCO 对比——补贴退坡情景（无补贴，购置税10%）</t>
        </is>
      </c>
    </row>
    <row r="3">
      <c r="A3" s="50" t="inlineStr">
        <is>
          <t>核心假设参数</t>
        </is>
      </c>
    </row>
    <row r="4">
      <c r="A4" s="44" t="inlineStr">
        <is>
          <t>参数</t>
        </is>
      </c>
      <c r="B4" s="44" t="inlineStr">
        <is>
          <t>电动</t>
        </is>
      </c>
      <c r="C4" s="44" t="inlineStr">
        <is>
          <t>LNG</t>
        </is>
      </c>
      <c r="D4" s="44" t="inlineStr">
        <is>
          <t>柴油</t>
        </is>
      </c>
      <c r="E4" s="44" t="inlineStr">
        <is>
          <t>说明</t>
        </is>
      </c>
    </row>
    <row r="5">
      <c r="A5" s="51" t="inlineStr">
        <is>
          <t>购置价（Rmb）</t>
        </is>
      </c>
      <c r="B5" s="25" t="n">
        <v>700000</v>
      </c>
      <c r="C5" s="25" t="n">
        <v>450000</v>
      </c>
      <c r="D5" s="25" t="n">
        <v>400000</v>
      </c>
      <c r="E5" s="54" t="inlineStr"/>
    </row>
    <row r="6">
      <c r="A6" s="51" t="inlineStr">
        <is>
          <t>购置税率（%）</t>
        </is>
      </c>
      <c r="B6" s="25" t="n">
        <v>10</v>
      </c>
      <c r="C6" s="25" t="n">
        <v>10</v>
      </c>
      <c r="D6" s="25" t="n">
        <v>10</v>
      </c>
      <c r="E6" s="54" t="inlineStr"/>
    </row>
    <row r="7">
      <c r="A7" s="51" t="inlineStr">
        <is>
          <t>购置补贴（Rmb）</t>
        </is>
      </c>
      <c r="B7" s="25" t="n">
        <v>0</v>
      </c>
      <c r="C7" s="25" t="n">
        <v>0</v>
      </c>
      <c r="D7" s="25" t="n">
        <v>0</v>
      </c>
      <c r="E7" s="54" t="inlineStr"/>
    </row>
    <row r="8">
      <c r="A8" s="51" t="inlineStr">
        <is>
          <t>年行驶里程（km）</t>
        </is>
      </c>
      <c r="B8" s="25" t="n">
        <v>150000</v>
      </c>
      <c r="C8" s="25" t="n">
        <v>150000</v>
      </c>
      <c r="D8" s="25" t="n">
        <v>150000</v>
      </c>
      <c r="E8" s="54" t="inlineStr"/>
    </row>
    <row r="9">
      <c r="A9" s="51" t="inlineStr">
        <is>
          <t>单位能耗（kWh/kg/L / km）</t>
        </is>
      </c>
      <c r="B9" s="26" t="n">
        <v>1.5</v>
      </c>
      <c r="C9" s="40">
        <f>=Table3_TCO基准情景!C9</f>
        <v/>
      </c>
      <c r="D9" s="40">
        <f>=Table3_TCO基准情景!D9</f>
        <v/>
      </c>
      <c r="E9" s="54" t="inlineStr">
        <is>
          <t>电：kWh/km；LNG：kg/km；柴油：L/km</t>
        </is>
      </c>
      <c r="F9" s="0">
        <f>=F11/D10</f>
        <v/>
      </c>
    </row>
    <row r="10">
      <c r="A10" s="51" t="inlineStr">
        <is>
          <t>能源单价（Rmb / kWh,kg,L）</t>
        </is>
      </c>
      <c r="B10" s="26" t="n">
        <v>0.85</v>
      </c>
      <c r="C10" s="26" t="n">
        <v>6.2</v>
      </c>
      <c r="D10" s="26" t="n">
        <v>7.6</v>
      </c>
      <c r="E10" s="54" t="inlineStr"/>
    </row>
    <row r="11">
      <c r="A11" s="51" t="inlineStr">
        <is>
          <t>单位里程能源成本（Rmb/km）</t>
        </is>
      </c>
      <c r="B11" s="64">
        <f>=B9*B10</f>
        <v/>
      </c>
      <c r="C11" s="64">
        <f>=C9*C10</f>
        <v/>
      </c>
      <c r="D11" s="64">
        <f>=D9*D10</f>
        <v/>
      </c>
      <c r="E11" s="54">
        <f>=单位能耗×能源单价</f>
        <v/>
      </c>
      <c r="F11" s="0">
        <f>=E18/D8</f>
        <v/>
      </c>
    </row>
    <row r="12">
      <c r="A12" s="51" t="inlineStr">
        <is>
          <t>年维护成本（Rmb）</t>
        </is>
      </c>
      <c r="B12" s="25" t="n">
        <v>15000</v>
      </c>
      <c r="C12" s="25" t="n">
        <v>25000</v>
      </c>
      <c r="D12" s="25" t="n">
        <v>30000</v>
      </c>
      <c r="E12" s="54" t="inlineStr"/>
    </row>
    <row r="13">
      <c r="A13" s="51" t="inlineStr">
        <is>
          <t>年载重损失成本（Rmb）</t>
        </is>
      </c>
      <c r="B13" s="25" t="n">
        <v>70000</v>
      </c>
      <c r="C13" s="25" t="n">
        <v>15000</v>
      </c>
      <c r="D13" s="25" t="n">
        <v>0</v>
      </c>
      <c r="E13" s="54" t="inlineStr"/>
    </row>
    <row r="15">
      <c r="A15" s="50" t="inlineStr">
        <is>
          <t>计算结果</t>
        </is>
      </c>
    </row>
    <row r="16">
      <c r="A16" s="44" t="inlineStr">
        <is>
          <t>项目</t>
        </is>
      </c>
      <c r="B16" s="44" t="inlineStr">
        <is>
          <t>电动</t>
        </is>
      </c>
      <c r="C16" s="44" t="inlineStr">
        <is>
          <t>LNG</t>
        </is>
      </c>
      <c r="D16" s="44" t="inlineStr">
        <is>
          <t>柴油</t>
        </is>
      </c>
      <c r="E16" s="44" t="inlineStr">
        <is>
          <t>说明</t>
        </is>
      </c>
    </row>
    <row r="17">
      <c r="A17" s="55" t="inlineStr">
        <is>
          <t>购置总成本（Rmb）</t>
        </is>
      </c>
      <c r="B17" s="27">
        <f>=B5*(1+B6/100)-B7</f>
        <v/>
      </c>
      <c r="C17" s="27">
        <f>=C5*(1+C6/100)-C7</f>
        <v/>
      </c>
      <c r="D17" s="27">
        <f>=D5*(1+D6/100)-D7</f>
        <v/>
      </c>
    </row>
    <row r="18">
      <c r="A18" s="55" t="inlineStr">
        <is>
          <t>年能源成本（Rmb）</t>
        </is>
      </c>
      <c r="B18" s="27">
        <f>=B8*B11</f>
        <v/>
      </c>
      <c r="C18" s="27">
        <f>=C8*C11</f>
        <v/>
      </c>
      <c r="D18" s="27">
        <f>=D8*D11</f>
        <v/>
      </c>
      <c r="E18" s="0">
        <f>=E19-D12-D13</f>
        <v/>
      </c>
    </row>
    <row r="19">
      <c r="A19" s="55" t="inlineStr">
        <is>
          <t>年运营成本（Rmb）</t>
        </is>
      </c>
      <c r="B19" s="27">
        <f>=B18+B12+B13</f>
        <v/>
      </c>
      <c r="C19" s="27">
        <f>=C18+C12+C13</f>
        <v/>
      </c>
      <c r="D19" s="27">
        <f>=D18+D12+D13</f>
        <v/>
      </c>
      <c r="E19" s="0">
        <f>=(E20-D17)/3</f>
        <v/>
      </c>
    </row>
    <row r="20">
      <c r="A20" s="55" t="inlineStr">
        <is>
          <t>TCO 3年（Rmb）</t>
        </is>
      </c>
      <c r="B20" s="27">
        <f>=B17+B19*3</f>
        <v/>
      </c>
      <c r="C20" s="27">
        <f>=C17+C19*3</f>
        <v/>
      </c>
      <c r="D20" s="27">
        <f>=D17+D19*3</f>
        <v/>
      </c>
      <c r="E20" s="0" t="n">
        <v>1712418</v>
      </c>
    </row>
    <row r="21">
      <c r="A21" s="55" t="inlineStr">
        <is>
          <t>TCO 5年（Rmb）</t>
        </is>
      </c>
      <c r="B21" s="27">
        <f>=B17+B19*5</f>
        <v/>
      </c>
      <c r="C21" s="27">
        <f>=C17+C19*5</f>
        <v/>
      </c>
      <c r="D21" s="27">
        <f>=D17+D19*5</f>
        <v/>
      </c>
    </row>
    <row r="22">
      <c r="A22" s="55" t="inlineStr">
        <is>
          <t>TCO 8年（Rmb）</t>
        </is>
      </c>
      <c r="B22" s="27">
        <f>=B17+B19*8</f>
        <v/>
      </c>
      <c r="C22" s="27">
        <f>=C17+C19*8</f>
        <v/>
      </c>
      <c r="D22" s="27">
        <f>=D17+D19*8</f>
        <v/>
      </c>
    </row>
    <row r="23">
      <c r="A23" s="55" t="inlineStr">
        <is>
          <t>TCO 10年（Rmb）</t>
        </is>
      </c>
      <c r="B23" s="27">
        <f>=B17+B19*10</f>
        <v/>
      </c>
      <c r="C23" s="27">
        <f>=C17+C19*10</f>
        <v/>
      </c>
      <c r="D23" s="27">
        <f>=D17+D19*10</f>
        <v/>
      </c>
    </row>
    <row r="24">
      <c r="A24" s="55" t="inlineStr"/>
      <c r="B24" s="55" t="inlineStr"/>
      <c r="C24" s="55" t="inlineStr"/>
      <c r="D24" s="55" t="inlineStr"/>
    </row>
    <row r="25">
      <c r="A25" s="55" t="inlineStr">
        <is>
          <t>电动 vs LNG 差异（3年）</t>
        </is>
      </c>
      <c r="B25" s="65">
        <f>=(B20-C20)/C20</f>
        <v/>
      </c>
      <c r="C25" s="55" t="inlineStr"/>
      <c r="D25" s="55" t="inlineStr"/>
    </row>
    <row r="26">
      <c r="A26" s="55" t="inlineStr">
        <is>
          <t>电动 vs LNG 差异（5年）</t>
        </is>
      </c>
      <c r="B26" s="65">
        <f>=(B21-C21)/C21</f>
        <v/>
      </c>
      <c r="C26" s="55" t="inlineStr"/>
      <c r="D26" s="55" t="inlineStr"/>
    </row>
    <row r="27">
      <c r="A27" s="55" t="inlineStr">
        <is>
          <t>电动 vs LNG 差异（8年）</t>
        </is>
      </c>
      <c r="B27" s="65">
        <f>=(B22-C22)/C22</f>
        <v/>
      </c>
      <c r="C27" s="55" t="inlineStr"/>
      <c r="D27" s="55" t="inlineStr"/>
    </row>
    <row r="28">
      <c r="A28" s="55" t="inlineStr">
        <is>
          <t>电动 vs LNG 差异（10年）</t>
        </is>
      </c>
      <c r="B28" s="65">
        <f>=(B23-C23)/C23</f>
        <v/>
      </c>
      <c r="C28" s="55" t="inlineStr"/>
      <c r="D28" s="55" t="inlineStr"/>
    </row>
    <row r="29">
      <c r="A29" s="55" t="inlineStr">
        <is>
          <t>电动 vs 柴油 差异（3年）</t>
        </is>
      </c>
      <c r="B29" s="65">
        <f>=(B20-D20)/D20</f>
        <v/>
      </c>
      <c r="C29" s="55" t="inlineStr"/>
      <c r="D29" s="55" t="inlineStr"/>
    </row>
    <row r="30">
      <c r="A30" s="55" t="inlineStr">
        <is>
          <t>电动 vs 柴油 差异（5年）</t>
        </is>
      </c>
      <c r="B30" s="65">
        <f>=(B21-D21)/D21</f>
        <v/>
      </c>
      <c r="C30" s="55" t="inlineStr"/>
      <c r="D30" s="55" t="inlineStr"/>
    </row>
    <row r="31">
      <c r="A31" s="55" t="inlineStr">
        <is>
          <t>电动 vs 柴油 差异（8年）</t>
        </is>
      </c>
      <c r="B31" s="65">
        <f>=(B22-D22)/D22</f>
        <v/>
      </c>
      <c r="C31" s="55" t="inlineStr"/>
      <c r="D31" s="55" t="inlineStr"/>
    </row>
    <row r="32">
      <c r="A32" s="55" t="inlineStr">
        <is>
          <t>电动 vs 柴油 差异（10年）</t>
        </is>
      </c>
      <c r="B32" s="65">
        <f>=(B23-D23)/D23</f>
        <v/>
      </c>
      <c r="C32" s="55" t="inlineStr"/>
      <c r="D32" s="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/>
  <cols>
    <col width="44" customWidth="1" style="3" min="1" max="1"/>
    <col width="18" customWidth="1" style="3" min="2" max="2"/>
    <col width="28" customWidth="1" style="3" min="3" max="3"/>
  </cols>
  <sheetData>
    <row r="1">
      <c r="A1" s="42" t="inlineStr">
        <is>
          <t>重卡换电与基础设施关键数据</t>
        </is>
      </c>
    </row>
    <row r="3">
      <c r="A3" s="44" t="inlineStr">
        <is>
          <t>指标</t>
        </is>
      </c>
      <c r="B3" s="44" t="inlineStr">
        <is>
          <t>数值</t>
        </is>
      </c>
      <c r="C3" s="44" t="inlineStr">
        <is>
          <t>信源/说明</t>
        </is>
      </c>
    </row>
    <row r="4">
      <c r="A4" s="55" t="inlineStr">
        <is>
          <t>400kWh 电池包占整车成本</t>
        </is>
      </c>
      <c r="B4" s="52" t="inlineStr">
        <is>
          <t>30-40万元</t>
        </is>
      </c>
      <c r="C4" s="54" t="inlineStr">
        <is>
          <t>JPM估算</t>
        </is>
      </c>
    </row>
    <row r="5">
      <c r="A5" s="55" t="inlineStr">
        <is>
          <t>换电模式可降低初始购车成本</t>
        </is>
      </c>
      <c r="B5" s="52" t="inlineStr">
        <is>
          <t>40-50%</t>
        </is>
      </c>
      <c r="C5" s="54" t="inlineStr">
        <is>
          <t>JPM估算</t>
        </is>
      </c>
    </row>
    <row r="6">
      <c r="A6" s="55" t="inlineStr">
        <is>
          <t>单次换电时间</t>
        </is>
      </c>
      <c r="B6" s="52" t="inlineStr">
        <is>
          <t>约5分钟</t>
        </is>
      </c>
      <c r="C6" s="54" t="inlineStr">
        <is>
          <t>CATL</t>
        </is>
      </c>
    </row>
    <row r="7">
      <c r="A7" s="55" t="inlineStr">
        <is>
          <t>传统充电时间</t>
        </is>
      </c>
      <c r="B7" s="52" t="inlineStr">
        <is>
          <t>约1.5小时</t>
        </is>
      </c>
      <c r="C7" s="54" t="inlineStr">
        <is>
          <t>JPM</t>
        </is>
      </c>
    </row>
    <row r="8">
      <c r="A8" s="55" t="inlineStr">
        <is>
          <t>年运营里程 15 万公里的换电重卡可额外获得运营小时数</t>
        </is>
      </c>
      <c r="B8" s="52" t="inlineStr">
        <is>
          <t>约200小时/年</t>
        </is>
      </c>
      <c r="C8" s="54" t="inlineStr">
        <is>
          <t>JPM</t>
        </is>
      </c>
    </row>
    <row r="9">
      <c r="A9" s="55" t="inlineStr">
        <is>
          <t>对应年增收</t>
        </is>
      </c>
      <c r="B9" s="52" t="inlineStr">
        <is>
          <t>约4万元/车</t>
        </is>
      </c>
      <c r="C9" s="54" t="inlineStr">
        <is>
          <t>JPM</t>
        </is>
      </c>
    </row>
    <row r="10">
      <c r="A10" s="55" t="inlineStr">
        <is>
          <t>2026年4月全国换电站总数</t>
        </is>
      </c>
      <c r="B10" s="52" t="n">
        <v>6039</v>
      </c>
      <c r="C10" s="54" t="inlineStr">
        <is>
          <t>EVCIPA</t>
        </is>
      </c>
    </row>
    <row r="11">
      <c r="A11" s="55" t="inlineStr">
        <is>
          <t>2026年1-4月新增换电站</t>
        </is>
      </c>
      <c r="B11" s="52" t="inlineStr">
        <is>
          <t>约1000座</t>
        </is>
      </c>
      <c r="C11" s="54" t="inlineStr">
        <is>
          <t>EVCIPA</t>
        </is>
      </c>
    </row>
    <row r="12">
      <c r="A12" s="55" t="inlineStr">
        <is>
          <t>重卡换电站估算数量</t>
        </is>
      </c>
      <c r="B12" s="52" t="inlineStr">
        <is>
          <t>700-1200座</t>
        </is>
      </c>
      <c r="C12" s="54" t="inlineStr">
        <is>
          <t>JPM估算</t>
        </is>
      </c>
    </row>
    <row r="13">
      <c r="A13" s="55" t="inlineStr">
        <is>
          <t>2030年目标：重卡充换电站</t>
        </is>
      </c>
      <c r="B13" s="52" t="inlineStr">
        <is>
          <t>约3000座</t>
        </is>
      </c>
      <c r="C13" s="54" t="inlineStr">
        <is>
          <t>国家方案</t>
        </is>
      </c>
    </row>
    <row r="14">
      <c r="A14" s="55" t="inlineStr">
        <is>
          <t>2030年目标：零碳货运走廊</t>
        </is>
      </c>
      <c r="B14" s="52" t="inlineStr">
        <is>
          <t>约3万公里</t>
        </is>
      </c>
      <c r="C14" s="54" t="inlineStr">
        <is>
          <t>国家方案</t>
        </is>
      </c>
    </row>
    <row r="15">
      <c r="A15" s="55" t="inlineStr">
        <is>
          <t>CATL 骐骥换电站（2025年底）</t>
        </is>
      </c>
      <c r="B15" s="52" t="n">
        <v>305</v>
      </c>
      <c r="C15" s="54" t="inlineStr">
        <is>
          <t>CATL</t>
        </is>
      </c>
    </row>
    <row r="16">
      <c r="A16" s="55" t="inlineStr">
        <is>
          <t>CATL 骐骥换电站（2026年底目标）</t>
        </is>
      </c>
      <c r="B16" s="52" t="n">
        <v>900</v>
      </c>
      <c r="C16" s="54" t="inlineStr">
        <is>
          <t>CATL</t>
        </is>
      </c>
    </row>
    <row r="17">
      <c r="A17" s="55" t="inlineStr">
        <is>
          <t>CATL 骐骥标准电池包 No.75 单包电量</t>
        </is>
      </c>
      <c r="B17" s="52" t="inlineStr">
        <is>
          <t>171 kWh</t>
        </is>
      </c>
      <c r="C17" s="54" t="inlineStr">
        <is>
          <t>CATL</t>
        </is>
      </c>
    </row>
    <row r="18">
      <c r="A18" s="55" t="inlineStr">
        <is>
          <t>单车可配置电池包数量</t>
        </is>
      </c>
      <c r="B18" s="52" t="inlineStr">
        <is>
          <t>1-3包</t>
        </is>
      </c>
      <c r="C18" s="54" t="inlineStr">
        <is>
          <t>CATL</t>
        </is>
      </c>
    </row>
    <row r="19">
      <c r="A19" s="55" t="inlineStr">
        <is>
          <t>单车最大电量</t>
        </is>
      </c>
      <c r="B19" s="52" t="inlineStr">
        <is>
          <t>&gt;500 kWh</t>
        </is>
      </c>
      <c r="C19" s="54" t="inlineStr">
        <is>
          <t>CATL</t>
        </is>
      </c>
    </row>
    <row r="20">
      <c r="A20" s="55" t="inlineStr">
        <is>
          <t>单站每小时可服务车辆</t>
        </is>
      </c>
      <c r="B20" s="52" t="inlineStr">
        <is>
          <t>约7辆</t>
        </is>
      </c>
      <c r="C20" s="54" t="inlineStr">
        <is>
          <t>JPM现场</t>
        </is>
      </c>
    </row>
    <row r="21">
      <c r="A21" s="55" t="inlineStr">
        <is>
          <t>单站日换电能力</t>
        </is>
      </c>
      <c r="B21" s="52" t="inlineStr">
        <is>
          <t>约168次</t>
        </is>
      </c>
      <c r="C21" s="54" t="inlineStr">
        <is>
          <t>JPM现场</t>
        </is>
      </c>
    </row>
    <row r="22">
      <c r="A22" s="55" t="inlineStr">
        <is>
          <t>单站最大电池包储量</t>
        </is>
      </c>
      <c r="B22" s="52" t="n">
        <v>24</v>
      </c>
      <c r="C22" s="54" t="inlineStr">
        <is>
          <t>JPM现场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2026-08-09T21:03:18Z</dcterms:created>
  <dcterms:modified xsi:type="dcterms:W3CDTF">2026-08-10T04:23:52Z</dcterms:modified>
</cp:coreProperties>
</file>