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380"/>
  </bookViews>
  <sheets>
    <sheet name="electric-vehicle-stock-by-mode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<sst xmlns="http://schemas.openxmlformats.org/spreadsheetml/2006/main" count="99" uniqueCount="91">
  <si>
    <t>Source: IEA. Licence: CC BY 4.0</t>
  </si>
  <si>
    <t>This data is subject to the IEA's terms and conditions: https://www.iea.org/t_c/termsandconditions/</t>
  </si>
  <si>
    <t>Units: million vehicles</t>
  </si>
  <si>
    <t xml:space="preserve"> PLDVs - BEV </t>
  </si>
  <si>
    <t xml:space="preserve"> PLDVs - PHEV </t>
  </si>
  <si>
    <t xml:space="preserve"> LCVs - BEV </t>
  </si>
  <si>
    <t xml:space="preserve"> LCVs - PHEV </t>
  </si>
  <si>
    <t xml:space="preserve"> Buses - BEV </t>
  </si>
  <si>
    <t xml:space="preserve"> Buses - PHEV </t>
  </si>
  <si>
    <t xml:space="preserve"> Trucks - BEV </t>
  </si>
  <si>
    <t xml:space="preserve"> Trucks - PHEV </t>
  </si>
  <si>
    <t>sum</t>
  </si>
  <si>
    <t xml:space="preserve">2030 CPS </t>
  </si>
  <si>
    <t xml:space="preserve">2030 STEPS </t>
  </si>
  <si>
    <t xml:space="preserve">2035 CPS </t>
  </si>
  <si>
    <t xml:space="preserve">2035 STEPS </t>
  </si>
  <si>
    <t>print("=" * 80)</t>
  </si>
  <si>
    <t>print("【三、修正后的计算框架与2030年规模测算】")</t>
  </si>
  <si>
    <t># =====================</t>
  </si>
  <si>
    <t># 修正后的核心公式</t>
  </si>
  <si>
    <t>print("""</t>
  </si>
  <si>
    <t>━━━━━━━━━━━━━━━━━━━━━━━━━━━━━━━━━━━━━━━━━━━━━━━━━━━━━━━━━━</t>
  </si>
  <si>
    <t>修正后的核心公式:</t>
  </si>
  <si>
    <t>换电电池资产总规模(GWh) = 车上电池资产 + 站内备用电池资产</t>
  </si>
  <si>
    <t>其中:</t>
  </si>
  <si>
    <t xml:space="preserve">  车上电池资产 = Σ(各场景换电车型保有量 × 该场景平均带电量)</t>
  </si>
  <si>
    <t xml:space="preserve">  </t>
  </si>
  <si>
    <t xml:space="preserve">  站内备用电池资产 = Σ(各类型换电站数量 × 该类型每站备用电池数 × 电池容量)</t>
  </si>
  <si>
    <t>注意:</t>
  </si>
  <si>
    <t xml:space="preserve">  • 这不是"销量"，而是"在役电池资产"</t>
  </si>
  <si>
    <t xml:space="preserve">  • 换电业务对宁德时代的收入是运营收入(租金/服务费)，不是一次性销售</t>
  </si>
  <si>
    <t xml:space="preserve">  • 海外换电2030年可忽略(处于试点期)</t>
  </si>
  <si>
    <t>")
# =====================
# 参数假设(分乐观/中性/悲观)
# =====================
print(\n" + "=" * 80)</t>
  </si>
  <si>
    <t>print("【参数假设表】")</t>
  </si>
  <si>
    <t>scenarios = {</t>
  </si>
  <si>
    <t xml:space="preserve">    "乘用车 - B端(网约车/出租车)": {</t>
  </si>
  <si>
    <t xml:space="preserve">        "2030年新能源乘用车保有量(万辆)": [10000, 12000, 15000],  # 欧阳明高:1-1.5亿</t>
  </si>
  <si>
    <t xml:space="preserve">        "B端占比": [0.10, 0.12, 0.15],  # 网约车+出租车约占10-15%</t>
  </si>
  <si>
    <t xml:space="preserve">        "B端换电渗透率": [0.30, 0.40, 0.50],  # B端换电渗透率</t>
  </si>
  <si>
    <t xml:space="preserve">        "换电B端保有量(万辆)": None,  # 计算得出</t>
  </si>
  <si>
    <t xml:space="preserve">        "平均带电量(kWh)": [50, 56, 60],  # 以25#LFP 56kWh为主</t>
  </si>
  <si>
    <t xml:space="preserve">        "宁德时代换电市占率": [0.50, 0.60, 0.70],  # 巧克力标准锁定效应</t>
  </si>
  <si>
    <t xml:space="preserve">    },</t>
  </si>
  <si>
    <t xml:space="preserve">    "乘用车 - C端(私家车)": {</t>
  </si>
  <si>
    <t xml:space="preserve">        "2030年新能源乘用车保有量(万辆)": [10000, 12000, 15000],</t>
  </si>
  <si>
    <t xml:space="preserve">        "C端占比": [0.85, 0.88, 0.90],  # 私家车占85-90%</t>
  </si>
  <si>
    <t xml:space="preserve">        "C端换电渗透率": [0.03, 0.05, 0.08],  # C端换电渗透率极低</t>
  </si>
  <si>
    <t xml:space="preserve">        "换电C端保有量(万辆)": None,</t>
  </si>
  <si>
    <t xml:space="preserve">        "平均带电量(kWh)": [56, 65, 75],  # 25#到26#</t>
  </si>
  <si>
    <t xml:space="preserve">        "宁德时代换电市占率": [0.40, 0.50, 0.60],</t>
  </si>
  <si>
    <t xml:space="preserve">    "商用车 - 重卡": {</t>
  </si>
  <si>
    <t xml:space="preserve">        "2030年新能源重卡保有量(万辆)": [120, 160, 200],  # 政策目标160万</t>
  </si>
  <si>
    <t xml:space="preserve">        "换电重卡占比": [0.40, 0.50, 0.60],  # 换电vs充电</t>
  </si>
  <si>
    <t xml:space="preserve">        "换电重卡保有量(万辆)": None,</t>
  </si>
  <si>
    <t xml:space="preserve">        "平均带电量(kWh)": [171, 171, 171],  # 75# = 171kWh</t>
  </si>
  <si>
    <t xml:space="preserve">        "宁德时代换电市占率": [0.50, 0.60, 0.70],  # 骐骥领先</t>
  </si>
  <si>
    <t xml:space="preserve">    "换电站 - 巧克力(乘用车)": {</t>
  </si>
  <si>
    <t xml:space="preserve">        "2030年站点数(座)": [10000, 15000, 20000],  # 介于2026年3000和长期3万</t>
  </si>
  <si>
    <t xml:space="preserve">        "每站平均电池数": [10, 15, 20],  # 5/14/30加权平均</t>
  </si>
  <si>
    <t xml:space="preserve">        "电池容量(kWh)": [56, 60, 65],  # 以25#为主</t>
  </si>
  <si>
    <t xml:space="preserve">    "换电站 - 骐骥(商用车)": {</t>
  </si>
  <si>
    <t xml:space="preserve">        "2030年站点数(座)": [2000, 3500, 5000],  # 覆盖干线</t>
  </si>
  <si>
    <t xml:space="preserve">        "每站电池数": [24, 24, 24],  # 标准站24块</t>
  </si>
  <si>
    <t xml:space="preserve">        "电池容量(kWh)": [171, 171, 171],  # 75#</t>
  </si>
  <si>
    <t>}</t>
  </si>
  <si>
    <t># 计算各场景</t>
  </si>
  <si>
    <t>print("\n┌─────────────────────────────────────────────────────────────────┐")</t>
  </si>
  <si>
    <t>print("│  场景                    │  悲观      │  中性      │  乐观      │")</t>
  </si>
  <si>
    <t>print("├─────────────────────────────────────────────────────────────────┤")</t>
  </si>
  <si>
    <t># 乘用车B端</t>
  </si>
  <si>
    <t>pb_pess = 10000 * 0.10 * 0.30  # 300万辆</t>
  </si>
  <si>
    <t>pb_base = 12000 * 0.12 * 0.40  # 576万辆</t>
  </si>
  <si>
    <t>pb_opti = 15000 * 0.15 * 0.50  # 1125万辆</t>
  </si>
  <si>
    <t>print(f"│  换电B端保有量(万辆)    │  {pb_pess:.0f}      │  {pb_base:.0f}      │  {pb_opti:.0f}     │")</t>
  </si>
  <si>
    <t># 乘用车C端</t>
  </si>
  <si>
    <t>pc_pess = 10000 * 0.85 * 0.03  # 255万辆</t>
  </si>
  <si>
    <t>pc_base = 12000 * 0.88 * 0.05  # 528万辆</t>
  </si>
  <si>
    <t>pc_opti = 15000 * 0.90 * 0.08  # 1080万辆</t>
  </si>
  <si>
    <t>print(f"│  换电C端保有量(万辆)    │  {pc_pess:.0f}      │  {pc_base:.0f}      │  {pc_opti:.0f}     │")</t>
  </si>
  <si>
    <t># 商用车重卡</t>
  </si>
  <si>
    <t>cv_pess = 120 * 0.40  # 48万辆</t>
  </si>
  <si>
    <t>cv_base = 160 * 0.50  # 80万辆</t>
  </si>
  <si>
    <t>cv_opti = 200 * 0.60  # 120万辆</t>
  </si>
  <si>
    <t>print(f"│  换电重卡保有量(万辆)   │  {cv_pess:.0f}       │  {cv_base:.0f}       │  {cv_opti:.0f}      │")</t>
  </si>
  <si>
    <t># 巧克力站点</t>
  </si>
  <si>
    <t>ch_pess, ch_base, ch_opti = 10000, 15000, 20000</t>
  </si>
  <si>
    <t>print(f"│  巧克力站点数(座)       │  {ch_pess:,}   │  {ch_base:,}   │  {ch_opti:,}  │")</t>
  </si>
  <si>
    <t># 骐骥站点</t>
  </si>
  <si>
    <t>qj_pess, qj_base, qj_opti = 2000, 3500, 5000</t>
  </si>
  <si>
    <t>print(f"│  骐骥站点数(座)         │  {qj_pess:,}    │  {qj_base:,}    │  {qj_opti:,}   │")</t>
  </si>
  <si>
    <t>print("└─────────────────────────────────────────────────────────────────┘")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</si>
</sst>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"/>
  <sheetViews>
    <sheetView tabSelected="1" zoomScaleSheetLayoutView="60" workbookViewId="0">
      <selection activeCell="H15" sqref="H15"/>
    </sheetView>
  </sheetViews>
  <sheetFormatPr defaultColWidth="10" defaultRowHeight="14.4"/>
  <cols>
    <col min="1" max="1" width="14.4444444444444" customWidth="1"/>
    <col min="2" max="2" width="15.2222222222222" customWidth="1"/>
    <col min="3" max="3" width="16.4444444444444" customWidth="1"/>
    <col min="4" max="4" width="14.1111111111111" customWidth="1"/>
    <col min="5" max="6" width="15.2222222222222" customWidth="1"/>
    <col min="7" max="8" width="16.4444444444444" customWidth="1"/>
    <col min="9" max="9" width="17.5555555555556" customWidth="1"/>
  </cols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4" spans="1:10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>
        <v>2025</v>
      </c>
      <c r="B5">
        <v>53</v>
      </c>
      <c r="C5">
        <v>26</v>
      </c>
      <c r="D5">
        <v>1.3</v>
      </c>
      <c r="E5">
        <v>0.1</v>
      </c>
      <c r="F5">
        <v>0.7</v>
      </c>
      <c r="G5">
        <v>0.04</v>
      </c>
      <c r="H5">
        <v>1.3</v>
      </c>
      <c r="I5">
        <v>0.04</v>
      </c>
      <c r="J5">
        <f t="shared" ref="J5:J9" si="0">SUM(B5:I5)</f>
        <v>82.48</v>
      </c>
    </row>
    <row r="6" spans="1:10">
      <c r="A6" t="s">
        <v>12</v>
      </c>
      <c r="B6">
        <v>159</v>
      </c>
      <c r="C6">
        <v>70</v>
      </c>
      <c r="D6">
        <v>7.5</v>
      </c>
      <c r="E6">
        <v>0.59</v>
      </c>
      <c r="F6">
        <v>1.7</v>
      </c>
      <c r="G6">
        <v>0.05</v>
      </c>
      <c r="H6">
        <v>4.7</v>
      </c>
      <c r="I6">
        <v>0.06</v>
      </c>
      <c r="J6">
        <f t="shared" si="0"/>
        <v>243.6</v>
      </c>
    </row>
    <row r="7" spans="1:10">
      <c r="A7" t="s">
        <v>13</v>
      </c>
      <c r="B7">
        <v>162</v>
      </c>
      <c r="C7">
        <v>70</v>
      </c>
      <c r="D7">
        <v>7.5</v>
      </c>
      <c r="E7">
        <v>0.55</v>
      </c>
      <c r="F7">
        <v>1.9</v>
      </c>
      <c r="G7">
        <v>0.06</v>
      </c>
      <c r="H7">
        <v>4.8</v>
      </c>
      <c r="I7">
        <v>0.13</v>
      </c>
      <c r="J7">
        <f t="shared" si="0"/>
        <v>246.94</v>
      </c>
    </row>
    <row r="8" spans="1:10">
      <c r="A8" t="s">
        <v>14</v>
      </c>
      <c r="B8">
        <v>341</v>
      </c>
      <c r="C8">
        <v>108</v>
      </c>
      <c r="D8">
        <v>19.8</v>
      </c>
      <c r="E8">
        <v>1.2</v>
      </c>
      <c r="F8">
        <v>2.4</v>
      </c>
      <c r="G8">
        <v>0.05</v>
      </c>
      <c r="H8">
        <v>9.3</v>
      </c>
      <c r="I8">
        <v>0.07</v>
      </c>
      <c r="J8">
        <f t="shared" si="0"/>
        <v>481.82</v>
      </c>
    </row>
    <row r="9" spans="1:10">
      <c r="A9" t="s">
        <v>15</v>
      </c>
      <c r="B9">
        <v>359</v>
      </c>
      <c r="C9">
        <v>114</v>
      </c>
      <c r="D9">
        <v>20.8</v>
      </c>
      <c r="E9">
        <v>1.25</v>
      </c>
      <c r="F9">
        <v>3.5</v>
      </c>
      <c r="G9">
        <v>0.06</v>
      </c>
      <c r="H9">
        <v>10</v>
      </c>
      <c r="I9">
        <v>0.32</v>
      </c>
      <c r="J9">
        <f t="shared" si="0"/>
        <v>508.93</v>
      </c>
    </row>
    <row r="13" spans="1:10">
      <c r="A13" t="s">
        <v>16</v>
      </c>
    </row>
    <row r="14" spans="1:10">
      <c r="A14" t="s">
        <v>17</v>
      </c>
    </row>
    <row r="15" spans="1:10">
      <c r="A15" t="s">
        <v>16</v>
      </c>
    </row>
    <row r="17" spans="1:1">
      <c r="A17" t="s">
        <v>18</v>
      </c>
    </row>
    <row r="18" spans="1:1">
      <c r="A18" t="s">
        <v>19</v>
      </c>
    </row>
    <row r="19" spans="1:1">
      <c r="A19" t="s">
        <v>18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21</v>
      </c>
    </row>
    <row r="25" spans="1:1">
      <c r="A25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ht="187.2" spans="1:1">
      <c r="A36" s="1" t="s">
        <v>32</v>
      </c>
    </row>
    <row r="37" spans="1:1">
      <c r="A37" t="s">
        <v>33</v>
      </c>
    </row>
    <row r="38" spans="1:1">
      <c r="A38" t="s">
        <v>16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5" spans="1:1">
      <c r="A45" t="s">
        <v>39</v>
      </c>
    </row>
    <row r="46" spans="1:1">
      <c r="A46" t="s">
        <v>40</v>
      </c>
    </row>
    <row r="47" spans="1:1">
      <c r="A47" t="s">
        <v>41</v>
      </c>
    </row>
    <row r="48" spans="1:1">
      <c r="A48" t="s">
        <v>42</v>
      </c>
    </row>
    <row r="49" spans="1:1">
      <c r="A49" t="s">
        <v>43</v>
      </c>
    </row>
    <row r="50" spans="1:1">
      <c r="A50" t="s">
        <v>44</v>
      </c>
    </row>
    <row r="51" spans="1:1">
      <c r="A51" t="s">
        <v>45</v>
      </c>
    </row>
    <row r="52" spans="1:1">
      <c r="A52" t="s">
        <v>46</v>
      </c>
    </row>
    <row r="53" spans="1:1">
      <c r="A53" t="s">
        <v>47</v>
      </c>
    </row>
    <row r="54" spans="1:1">
      <c r="A54" t="s">
        <v>48</v>
      </c>
    </row>
    <row r="55" spans="1:1">
      <c r="A55" t="s">
        <v>49</v>
      </c>
    </row>
    <row r="56" spans="1:1">
      <c r="A56" t="s">
        <v>42</v>
      </c>
    </row>
    <row r="57" spans="1:1">
      <c r="A57" t="s">
        <v>50</v>
      </c>
    </row>
    <row r="58" spans="1:1">
      <c r="A58" t="s">
        <v>51</v>
      </c>
    </row>
    <row r="59" spans="1:1">
      <c r="A59" t="s">
        <v>52</v>
      </c>
    </row>
    <row r="60" spans="1:1">
      <c r="A60" t="s">
        <v>53</v>
      </c>
    </row>
    <row r="61" spans="1:1">
      <c r="A61" t="s">
        <v>54</v>
      </c>
    </row>
    <row r="62" spans="1:1">
      <c r="A62" t="s">
        <v>55</v>
      </c>
    </row>
    <row r="63" spans="1:1">
      <c r="A63" t="s">
        <v>42</v>
      </c>
    </row>
    <row r="64" spans="1:1">
      <c r="A64" t="s">
        <v>56</v>
      </c>
    </row>
    <row r="65" spans="1:1">
      <c r="A65" t="s">
        <v>57</v>
      </c>
    </row>
    <row r="66" spans="1:1">
      <c r="A66" t="s">
        <v>58</v>
      </c>
    </row>
    <row r="67" spans="1:1">
      <c r="A67" t="s">
        <v>59</v>
      </c>
    </row>
    <row r="68" spans="1:1">
      <c r="A68" t="s">
        <v>42</v>
      </c>
    </row>
    <row r="69" spans="1:1">
      <c r="A69" t="s">
        <v>60</v>
      </c>
    </row>
    <row r="70" spans="1:1">
      <c r="A70" t="s">
        <v>61</v>
      </c>
    </row>
    <row r="71" spans="1:1">
      <c r="A71" t="s">
        <v>62</v>
      </c>
    </row>
    <row r="72" spans="1:1">
      <c r="A72" t="s">
        <v>63</v>
      </c>
    </row>
    <row r="73" spans="1:1">
      <c r="A73" t="s">
        <v>42</v>
      </c>
    </row>
    <row r="74" spans="1:1">
      <c r="A74" t="s">
        <v>64</v>
      </c>
    </row>
    <row r="76" spans="1:1">
      <c r="A76" t="s">
        <v>65</v>
      </c>
    </row>
    <row r="77" spans="1:1">
      <c r="A77" t="s">
        <v>66</v>
      </c>
    </row>
    <row r="78" spans="1:1">
      <c r="A78" t="s">
        <v>67</v>
      </c>
    </row>
    <row r="79" spans="1:1">
      <c r="A79" t="s">
        <v>68</v>
      </c>
    </row>
    <row r="81" spans="1:1">
      <c r="A81" t="s">
        <v>69</v>
      </c>
    </row>
    <row r="82" spans="1:1">
      <c r="A82" t="s">
        <v>70</v>
      </c>
    </row>
    <row r="83" spans="1:1">
      <c r="A83" t="s">
        <v>71</v>
      </c>
    </row>
    <row r="84" spans="1:1">
      <c r="A84" t="s">
        <v>72</v>
      </c>
    </row>
    <row r="85" spans="1:1">
      <c r="A85" t="s">
        <v>73</v>
      </c>
    </row>
    <row r="87" spans="1:1">
      <c r="A87" t="s">
        <v>74</v>
      </c>
    </row>
    <row r="88" spans="1:1">
      <c r="A88" t="s">
        <v>75</v>
      </c>
    </row>
    <row r="89" spans="1:1">
      <c r="A89" t="s">
        <v>76</v>
      </c>
    </row>
    <row r="90" spans="1:1">
      <c r="A90" t="s">
        <v>77</v>
      </c>
    </row>
    <row r="91" spans="1:1">
      <c r="A91" t="s">
        <v>78</v>
      </c>
    </row>
    <row r="93" spans="1:1">
      <c r="A93" t="s">
        <v>79</v>
      </c>
    </row>
    <row r="94" spans="1:1">
      <c r="A94" t="s">
        <v>80</v>
      </c>
    </row>
    <row r="95" spans="1:1">
      <c r="A95" t="s">
        <v>81</v>
      </c>
    </row>
    <row r="96" spans="1:1">
      <c r="A96" t="s">
        <v>82</v>
      </c>
    </row>
    <row r="97" spans="1:1">
      <c r="A97" t="s">
        <v>83</v>
      </c>
    </row>
    <row r="99" spans="1:1">
      <c r="A99" t="s">
        <v>84</v>
      </c>
    </row>
    <row r="100" spans="1:1">
      <c r="A100" t="s">
        <v>85</v>
      </c>
    </row>
    <row r="101" spans="1:1">
      <c r="A101" t="s">
        <v>86</v>
      </c>
    </row>
    <row r="103" spans="1:1">
      <c r="A103" t="s">
        <v>87</v>
      </c>
    </row>
    <row r="104" spans="1:1">
      <c r="A104" t="s">
        <v>88</v>
      </c>
    </row>
    <row r="105" spans="1:1">
      <c r="A105" t="s">
        <v>89</v>
      </c>
    </row>
    <row r="107" spans="1:1">
      <c r="A107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electric-vehicle-stock-by-mode-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蝌蚪</cp:lastModifiedBy>
  <dcterms:created xsi:type="dcterms:W3CDTF">2026-07-05T05:21:41Z</dcterms:created>
  <dcterms:modified xsi:type="dcterms:W3CDTF">2026-07-05T14:54:18Z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E30753A1DAEA4C34846258D86B965983_13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