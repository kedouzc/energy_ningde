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链条主表" sheetId="1" state="visible" r:id="rId1"/>
    <sheet xmlns:r="http://schemas.openxmlformats.org/officeDocument/2006/relationships" name="信源索引" sheetId="2" state="visible" r:id="rId2"/>
    <sheet xmlns:r="http://schemas.openxmlformats.org/officeDocument/2006/relationships" name="换电车辆漏斗逐年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00"/>
  </numFmts>
  <fonts count="14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  <sz val="9"/>
    </font>
    <font>
      <b val="1"/>
      <color rgb="00FFFFFF"/>
      <sz val="10"/>
    </font>
    <font>
      <b val="1"/>
      <color rgb="001F4E78"/>
      <sz val="11"/>
    </font>
    <font>
      <b val="1"/>
    </font>
    <font>
      <b val="1"/>
      <sz val="10"/>
    </font>
    <font>
      <color rgb="000563C1"/>
      <sz val="8"/>
    </font>
    <font>
      <sz val="9"/>
    </font>
    <font>
      <color rgb="00595959"/>
      <sz val="8"/>
    </font>
    <font>
      <b val="1"/>
      <color rgb="001F4E78"/>
      <sz val="12"/>
    </font>
    <font>
      <color rgb="000563C1"/>
      <sz val="9"/>
      <u val="single"/>
    </font>
    <font>
      <color rgb="00404040"/>
      <sz val="9"/>
    </font>
    <font>
      <b val="1"/>
      <sz val="9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0CE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6" fillId="4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vertical="top" wrapText="1"/>
    </xf>
    <xf numFmtId="164" fontId="6" fillId="5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vertical="top" wrapText="1"/>
    </xf>
    <xf numFmtId="164" fontId="6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vertical="top" wrapText="1"/>
    </xf>
    <xf numFmtId="164" fontId="6" fillId="7" borderId="1" applyAlignment="1" pivotButton="0" quotePrefix="0" xfId="0">
      <alignment horizontal="right" vertical="center"/>
    </xf>
    <xf numFmtId="0" fontId="6" fillId="8" borderId="1" applyAlignment="1" pivotButton="0" quotePrefix="0" xfId="0">
      <alignment vertical="top" wrapText="1"/>
    </xf>
    <xf numFmtId="164" fontId="6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6" fillId="9" borderId="1" applyAlignment="1" pivotButton="0" quotePrefix="0" xfId="0">
      <alignment vertical="top" wrapText="1"/>
    </xf>
    <xf numFmtId="0" fontId="6" fillId="9" borderId="1" applyAlignment="1" pivotButton="0" quotePrefix="0" xfId="0">
      <alignment horizontal="center" vertical="center"/>
    </xf>
    <xf numFmtId="164" fontId="6" fillId="9" borderId="1" applyAlignment="1" pivotButton="0" quotePrefix="0" xfId="0">
      <alignment horizontal="right" vertical="center"/>
    </xf>
    <xf numFmtId="165" fontId="6" fillId="9" borderId="1" applyAlignment="1" pivotButton="0" quotePrefix="0" xfId="0">
      <alignment horizontal="right" vertical="center"/>
    </xf>
    <xf numFmtId="0" fontId="1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164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vertical="top" wrapText="1"/>
    </xf>
    <xf numFmtId="164" fontId="1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v.cn/zhengce/zhengceku/202606/content_7072002.htm" TargetMode="External" Id="rId1"/><Relationship Type="http://schemas.openxmlformats.org/officeDocument/2006/relationships/hyperlink" Target="https://www.gov.cn/lianbo/202606/content_7072829.htm" TargetMode="External" Id="rId2"/><Relationship Type="http://schemas.openxmlformats.org/officeDocument/2006/relationships/hyperlink" Target="https://www.gov.cn/zhengce/zhengceku/202606/content_7072002.htm" TargetMode="External" Id="rId3"/><Relationship Type="http://schemas.openxmlformats.org/officeDocument/2006/relationships/hyperlink" Target="https://www.gov.cn/zhengce/zhengceku/202606/content_7072002.htm" TargetMode="External" Id="rId4"/><Relationship Type="http://schemas.openxmlformats.org/officeDocument/2006/relationships/hyperlink" Target="https://www.gov.cn/zhengce/zhengceku/202606/content_7072002.htm" TargetMode="External" Id="rId5"/><Relationship Type="http://schemas.openxmlformats.org/officeDocument/2006/relationships/hyperlink" Target="https://www.gov.cn/zhengce/zhengceku/202606/content_7072002.htm" TargetMode="External" Id="rId6"/><Relationship Type="http://schemas.openxmlformats.org/officeDocument/2006/relationships/hyperlink" Target="https://www.gov.cn/zhengce/zhengceku/202606/content_7072002.htm" TargetMode="External" Id="rId7"/><Relationship Type="http://schemas.openxmlformats.org/officeDocument/2006/relationships/hyperlink" Target="https://www.gov.cn/zhengce/zhengceku/202606/content_7072002.htm" TargetMode="External" Id="rId8"/><Relationship Type="http://schemas.openxmlformats.org/officeDocument/2006/relationships/hyperlink" Target="https://www.gov.cn/zhengce/zhengceku/202606/content_7072002.htm" TargetMode="External" Id="rId9"/><Relationship Type="http://schemas.openxmlformats.org/officeDocument/2006/relationships/hyperlink" Target="https://www.iea.org/data-and-statistics/data-tools/global-ev-data-explorer" TargetMode="External" Id="rId10"/><Relationship Type="http://schemas.openxmlformats.org/officeDocument/2006/relationships/hyperlink" Target="https://www.iea.org/data-and-statistics/data-tools/global-ev-data-explorer" TargetMode="External" Id="rId11"/><Relationship Type="http://schemas.openxmlformats.org/officeDocument/2006/relationships/hyperlink" Target="https://www.iea.org/data-and-statistics/data-tools/global-ev-data-explorer" TargetMode="External" Id="rId12"/><Relationship Type="http://schemas.openxmlformats.org/officeDocument/2006/relationships/hyperlink" Target="https://www.iea.org/data-and-statistics/data-tools/global-ev-data-explorer" TargetMode="External" Id="rId13"/><Relationship Type="http://schemas.openxmlformats.org/officeDocument/2006/relationships/hyperlink" Target="https://www.iea.org/data-and-statistics/data-tools/global-ev-data-explorer" TargetMode="External" Id="rId14"/><Relationship Type="http://schemas.openxmlformats.org/officeDocument/2006/relationships/hyperlink" Target="https://www.iea.org/data-and-statistics/data-tools/global-ev-data-explorer" TargetMode="External" Id="rId15"/><Relationship Type="http://schemas.openxmlformats.org/officeDocument/2006/relationships/hyperlink" Target="https://auto.cri.cn/20260211/89cb7bc0-d691-49c4-926b-fed73a9366fc.html" TargetMode="External" Id="rId16"/><Relationship Type="http://schemas.openxmlformats.org/officeDocument/2006/relationships/hyperlink" Target="https://auto.cri.cn/20260211/89cb7bc0-d691-49c4-926b-fed73a9366fc.html" TargetMode="External" Id="rId17"/><Relationship Type="http://schemas.openxmlformats.org/officeDocument/2006/relationships/hyperlink" Target="https://auto.cri.cn/20260211/89cb7bc0-d691-49c4-926b-fed73a9366fc.html" TargetMode="External" Id="rId18"/><Relationship Type="http://schemas.openxmlformats.org/officeDocument/2006/relationships/hyperlink" Target="https://auto.cri.cn/20260211/89cb7bc0-d691-49c4-926b-fed73a9366fc.html" TargetMode="External" Id="rId19"/><Relationship Type="http://schemas.openxmlformats.org/officeDocument/2006/relationships/hyperlink" Target="https://auto.cri.cn/20260211/89cb7bc0-d691-49c4-926b-fed73a9366fc.html" TargetMode="External" Id="rId20"/><Relationship Type="http://schemas.openxmlformats.org/officeDocument/2006/relationships/hyperlink" Target="https://auto.cri.cn/20260211/89cb7bc0-d691-49c4-926b-fed73a9366fc.html" TargetMode="External" Id="rId21"/><Relationship Type="http://schemas.openxmlformats.org/officeDocument/2006/relationships/hyperlink" Target="https://auto.cri.cn/20260211/89cb7bc0-d691-49c4-926b-fed73a9366fc.html" TargetMode="External" Id="rId22"/><Relationship Type="http://schemas.openxmlformats.org/officeDocument/2006/relationships/hyperlink" Target="https://auto.cri.cn/20260211/89cb7bc0-d691-49c4-926b-fed73a9366fc.html" TargetMode="External" Id="rId23"/><Relationship Type="http://schemas.openxmlformats.org/officeDocument/2006/relationships/hyperlink" Target="https://auto.cri.cn/20260211/89cb7bc0-d691-49c4-926b-fed73a9366fc.html" TargetMode="External" Id="rId24"/><Relationship Type="http://schemas.openxmlformats.org/officeDocument/2006/relationships/hyperlink" Target="https://auto.cri.cn/20260211/89cb7bc0-d691-49c4-926b-fed73a9366fc.html" TargetMode="External" Id="rId25"/><Relationship Type="http://schemas.openxmlformats.org/officeDocument/2006/relationships/hyperlink" Target="https://auto.cri.cn/20260211/89cb7bc0-d691-49c4-926b-fed73a9366fc.html" TargetMode="External" Id="rId26"/><Relationship Type="http://schemas.openxmlformats.org/officeDocument/2006/relationships/hyperlink" Target="https://auto.cri.cn/20260211/89cb7bc0-d691-49c4-926b-fed73a9366fc.html" TargetMode="External" Id="rId27"/><Relationship Type="http://schemas.openxmlformats.org/officeDocument/2006/relationships/hyperlink" Target="https://m.10jqka.com.cn/20260702/c677904714.shtml" TargetMode="External" Id="rId28"/><Relationship Type="http://schemas.openxmlformats.org/officeDocument/2006/relationships/hyperlink" Target="https://m.10jqka.com.cn/20260702/c677904714.shtml" TargetMode="External" Id="rId29"/><Relationship Type="http://schemas.openxmlformats.org/officeDocument/2006/relationships/hyperlink" Target="https://m.10jqka.com.cn/20260702/c677904714.shtml" TargetMode="External" Id="rId30"/><Relationship Type="http://schemas.openxmlformats.org/officeDocument/2006/relationships/hyperlink" Target="https://m.10jqka.com.cn/20260702/c677904714.shtml" TargetMode="External" Id="rId31"/><Relationship Type="http://schemas.openxmlformats.org/officeDocument/2006/relationships/hyperlink" Target="https://m.10jqka.com.cn/20260702/c677904714.shtml" TargetMode="External" Id="rId32"/><Relationship Type="http://schemas.openxmlformats.org/officeDocument/2006/relationships/hyperlink" Target="https://m.10jqka.com.cn/20260702/c677904714.shtml" TargetMode="External" Id="rId33"/><Relationship Type="http://schemas.openxmlformats.org/officeDocument/2006/relationships/hyperlink" Target="https://m.10jqka.com.cn/20260702/c677904714.shtml" TargetMode="External" Id="rId34"/><Relationship Type="http://schemas.openxmlformats.org/officeDocument/2006/relationships/hyperlink" Target="https://m.10jqka.com.cn/20260702/c677904714.shtml" TargetMode="External" Id="rId35"/><Relationship Type="http://schemas.openxmlformats.org/officeDocument/2006/relationships/hyperlink" Target="https://m.10jqka.com.cn/20260702/c677904714.shtml" TargetMode="External" Id="rId36"/><Relationship Type="http://schemas.openxmlformats.org/officeDocument/2006/relationships/hyperlink" Target="https://chejiahao.autohome.com.cn/info/25909400" TargetMode="External" Id="rId37"/><Relationship Type="http://schemas.openxmlformats.org/officeDocument/2006/relationships/hyperlink" Target="https://chejiahao.autohome.com.cn/info/25909400" TargetMode="External" Id="rId38"/><Relationship Type="http://schemas.openxmlformats.org/officeDocument/2006/relationships/hyperlink" Target="https://chejiahao.autohome.com.cn/info/25909400" TargetMode="External" Id="rId39"/><Relationship Type="http://schemas.openxmlformats.org/officeDocument/2006/relationships/hyperlink" Target="https://chejiahao.autohome.com.cn/info/25909400" TargetMode="External" Id="rId40"/><Relationship Type="http://schemas.openxmlformats.org/officeDocument/2006/relationships/hyperlink" Target="https://chejiahao.autohome.com.cn/info/25909400" TargetMode="External" Id="rId41"/><Relationship Type="http://schemas.openxmlformats.org/officeDocument/2006/relationships/hyperlink" Target="https://chejiahao.autohome.com.cn/info/25909400" TargetMode="External" Id="rId42"/><Relationship Type="http://schemas.openxmlformats.org/officeDocument/2006/relationships/hyperlink" Target="https://chejiahao.autohome.com.cn/info/25909400" TargetMode="External" Id="rId43"/><Relationship Type="http://schemas.openxmlformats.org/officeDocument/2006/relationships/hyperlink" Target="https://chejiahao.autohome.com.cn/info/25909400" TargetMode="External" Id="rId44"/><Relationship Type="http://schemas.openxmlformats.org/officeDocument/2006/relationships/hyperlink" Target="https://chejiahao.autohome.com.cn/info/25909400" TargetMode="External" Id="rId45"/><Relationship Type="http://schemas.openxmlformats.org/officeDocument/2006/relationships/hyperlink" Target="https://chejiahao.autohome.com.cn/info/25909400" TargetMode="External" Id="rId46"/><Relationship Type="http://schemas.openxmlformats.org/officeDocument/2006/relationships/hyperlink" Target="https://chejiahao.autohome.com.cn/info/25909400" TargetMode="External" Id="rId47"/><Relationship Type="http://schemas.openxmlformats.org/officeDocument/2006/relationships/hyperlink" Target="https://chejiahao.autohome.com.cn/info/25909400" TargetMode="External" Id="rId48"/><Relationship Type="http://schemas.openxmlformats.org/officeDocument/2006/relationships/hyperlink" Target="https://www.catl.com/news/9884.html" TargetMode="External" Id="rId49"/><Relationship Type="http://schemas.openxmlformats.org/officeDocument/2006/relationships/hyperlink" Target="https://www.catl.com/news/9884.html" TargetMode="External" Id="rId50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v.cn/zhengce/zhengceku/202606/content_7072002.htm" TargetMode="External" Id="rId1"/><Relationship Type="http://schemas.openxmlformats.org/officeDocument/2006/relationships/hyperlink" Target="https://www.gov.cn/lianbo/202606/content_7072829.htm" TargetMode="External" Id="rId2"/><Relationship Type="http://schemas.openxmlformats.org/officeDocument/2006/relationships/hyperlink" Target="https://www.gov.cn/zhengce/zhengceku/202606/content_7072002.htm" TargetMode="External" Id="rId3"/><Relationship Type="http://schemas.openxmlformats.org/officeDocument/2006/relationships/hyperlink" Target="https://www.gov.cn/zhengce/zhengceku/202606/content_7072002.htm" TargetMode="External" Id="rId4"/><Relationship Type="http://schemas.openxmlformats.org/officeDocument/2006/relationships/hyperlink" Target="https://www.gov.cn/zhengce/zhengceku/202606/content_7072002.htm" TargetMode="External" Id="rId5"/><Relationship Type="http://schemas.openxmlformats.org/officeDocument/2006/relationships/hyperlink" Target="https://www.gov.cn/zhengce/zhengceku/202606/content_7072002.htm" TargetMode="External" Id="rId6"/><Relationship Type="http://schemas.openxmlformats.org/officeDocument/2006/relationships/hyperlink" Target="https://www.gov.cn/zhengce/zhengceku/202606/content_7072002.htm" TargetMode="External" Id="rId7"/><Relationship Type="http://schemas.openxmlformats.org/officeDocument/2006/relationships/hyperlink" Target="https://www.gov.cn/zhengce/zhengceku/202606/content_7072002.htm" TargetMode="External" Id="rId8"/><Relationship Type="http://schemas.openxmlformats.org/officeDocument/2006/relationships/hyperlink" Target="https://www.gov.cn/zhengce/zhengceku/202606/content_7072002.htm" TargetMode="External" Id="rId9"/><Relationship Type="http://schemas.openxmlformats.org/officeDocument/2006/relationships/hyperlink" Target="https://www.iea.org/data-and-statistics/data-tools/global-ev-data-explorer" TargetMode="External" Id="rId10"/><Relationship Type="http://schemas.openxmlformats.org/officeDocument/2006/relationships/hyperlink" Target="https://www.iea.org/data-and-statistics/data-tools/global-ev-data-explorer" TargetMode="External" Id="rId11"/><Relationship Type="http://schemas.openxmlformats.org/officeDocument/2006/relationships/hyperlink" Target="https://www.iea.org/data-and-statistics/data-tools/global-ev-data-explorer" TargetMode="External" Id="rId12"/><Relationship Type="http://schemas.openxmlformats.org/officeDocument/2006/relationships/hyperlink" Target="https://www.iea.org/data-and-statistics/data-tools/global-ev-data-explorer" TargetMode="External" Id="rId13"/><Relationship Type="http://schemas.openxmlformats.org/officeDocument/2006/relationships/hyperlink" Target="https://www.iea.org/data-and-statistics/data-tools/global-ev-data-explorer" TargetMode="External" Id="rId14"/><Relationship Type="http://schemas.openxmlformats.org/officeDocument/2006/relationships/hyperlink" Target="https://www.iea.org/data-and-statistics/data-tools/global-ev-data-explorer" TargetMode="External" Id="rId15"/><Relationship Type="http://schemas.openxmlformats.org/officeDocument/2006/relationships/hyperlink" Target="https://auto.cri.cn/20260211/89cb7bc0-d691-49c4-926b-fed73a9366fc.html" TargetMode="External" Id="rId16"/><Relationship Type="http://schemas.openxmlformats.org/officeDocument/2006/relationships/hyperlink" Target="https://auto.cri.cn/20260211/89cb7bc0-d691-49c4-926b-fed73a9366fc.html" TargetMode="External" Id="rId17"/><Relationship Type="http://schemas.openxmlformats.org/officeDocument/2006/relationships/hyperlink" Target="https://auto.cri.cn/20260211/89cb7bc0-d691-49c4-926b-fed73a9366fc.html" TargetMode="External" Id="rId18"/><Relationship Type="http://schemas.openxmlformats.org/officeDocument/2006/relationships/hyperlink" Target="https://auto.cri.cn/20260211/89cb7bc0-d691-49c4-926b-fed73a9366fc.html" TargetMode="External" Id="rId19"/><Relationship Type="http://schemas.openxmlformats.org/officeDocument/2006/relationships/hyperlink" Target="https://auto.cri.cn/20260211/89cb7bc0-d691-49c4-926b-fed73a9366fc.html" TargetMode="External" Id="rId20"/><Relationship Type="http://schemas.openxmlformats.org/officeDocument/2006/relationships/hyperlink" Target="https://auto.cri.cn/20260211/89cb7bc0-d691-49c4-926b-fed73a9366fc.html" TargetMode="External" Id="rId21"/><Relationship Type="http://schemas.openxmlformats.org/officeDocument/2006/relationships/hyperlink" Target="https://auto.cri.cn/20260211/89cb7bc0-d691-49c4-926b-fed73a9366fc.html" TargetMode="External" Id="rId22"/><Relationship Type="http://schemas.openxmlformats.org/officeDocument/2006/relationships/hyperlink" Target="https://auto.cri.cn/20260211/89cb7bc0-d691-49c4-926b-fed73a9366fc.html" TargetMode="External" Id="rId23"/><Relationship Type="http://schemas.openxmlformats.org/officeDocument/2006/relationships/hyperlink" Target="https://auto.cri.cn/20260211/89cb7bc0-d691-49c4-926b-fed73a9366fc.html" TargetMode="External" Id="rId24"/><Relationship Type="http://schemas.openxmlformats.org/officeDocument/2006/relationships/hyperlink" Target="https://auto.cri.cn/20260211/89cb7bc0-d691-49c4-926b-fed73a9366fc.html" TargetMode="External" Id="rId25"/><Relationship Type="http://schemas.openxmlformats.org/officeDocument/2006/relationships/hyperlink" Target="https://auto.cri.cn/20260211/89cb7bc0-d691-49c4-926b-fed73a9366fc.html" TargetMode="External" Id="rId26"/><Relationship Type="http://schemas.openxmlformats.org/officeDocument/2006/relationships/hyperlink" Target="https://auto.cri.cn/20260211/89cb7bc0-d691-49c4-926b-fed73a9366fc.html" TargetMode="External" Id="rId27"/><Relationship Type="http://schemas.openxmlformats.org/officeDocument/2006/relationships/hyperlink" Target="https://m.10jqka.com.cn/20260702/c677904714.shtml" TargetMode="External" Id="rId28"/><Relationship Type="http://schemas.openxmlformats.org/officeDocument/2006/relationships/hyperlink" Target="https://m.10jqka.com.cn/20260702/c677904714.shtml" TargetMode="External" Id="rId29"/><Relationship Type="http://schemas.openxmlformats.org/officeDocument/2006/relationships/hyperlink" Target="https://m.10jqka.com.cn/20260702/c677904714.shtml" TargetMode="External" Id="rId30"/><Relationship Type="http://schemas.openxmlformats.org/officeDocument/2006/relationships/hyperlink" Target="https://m.10jqka.com.cn/20260702/c677904714.shtml" TargetMode="External" Id="rId31"/><Relationship Type="http://schemas.openxmlformats.org/officeDocument/2006/relationships/hyperlink" Target="https://m.10jqka.com.cn/20260702/c677904714.shtml" TargetMode="External" Id="rId32"/><Relationship Type="http://schemas.openxmlformats.org/officeDocument/2006/relationships/hyperlink" Target="https://m.10jqka.com.cn/20260702/c677904714.shtml" TargetMode="External" Id="rId33"/><Relationship Type="http://schemas.openxmlformats.org/officeDocument/2006/relationships/hyperlink" Target="https://m.10jqka.com.cn/20260702/c677904714.shtml" TargetMode="External" Id="rId34"/><Relationship Type="http://schemas.openxmlformats.org/officeDocument/2006/relationships/hyperlink" Target="https://m.10jqka.com.cn/20260702/c677904714.shtml" TargetMode="External" Id="rId35"/><Relationship Type="http://schemas.openxmlformats.org/officeDocument/2006/relationships/hyperlink" Target="https://m.10jqka.com.cn/20260702/c677904714.shtml" TargetMode="External" Id="rId36"/><Relationship Type="http://schemas.openxmlformats.org/officeDocument/2006/relationships/hyperlink" Target="https://chejiahao.autohome.com.cn/info/25909400" TargetMode="External" Id="rId37"/><Relationship Type="http://schemas.openxmlformats.org/officeDocument/2006/relationships/hyperlink" Target="https://chejiahao.autohome.com.cn/info/25909400" TargetMode="External" Id="rId38"/><Relationship Type="http://schemas.openxmlformats.org/officeDocument/2006/relationships/hyperlink" Target="https://chejiahao.autohome.com.cn/info/25909400" TargetMode="External" Id="rId39"/><Relationship Type="http://schemas.openxmlformats.org/officeDocument/2006/relationships/hyperlink" Target="https://chejiahao.autohome.com.cn/info/25909400" TargetMode="External" Id="rId40"/><Relationship Type="http://schemas.openxmlformats.org/officeDocument/2006/relationships/hyperlink" Target="https://chejiahao.autohome.com.cn/info/25909400" TargetMode="External" Id="rId41"/><Relationship Type="http://schemas.openxmlformats.org/officeDocument/2006/relationships/hyperlink" Target="https://chejiahao.autohome.com.cn/info/25909400" TargetMode="External" Id="rId42"/><Relationship Type="http://schemas.openxmlformats.org/officeDocument/2006/relationships/hyperlink" Target="https://chejiahao.autohome.com.cn/info/25909400" TargetMode="External" Id="rId43"/><Relationship Type="http://schemas.openxmlformats.org/officeDocument/2006/relationships/hyperlink" Target="https://chejiahao.autohome.com.cn/info/25909400" TargetMode="External" Id="rId44"/><Relationship Type="http://schemas.openxmlformats.org/officeDocument/2006/relationships/hyperlink" Target="https://chejiahao.autohome.com.cn/info/25909400" TargetMode="External" Id="rId45"/><Relationship Type="http://schemas.openxmlformats.org/officeDocument/2006/relationships/hyperlink" Target="https://chejiahao.autohome.com.cn/info/25909400" TargetMode="External" Id="rId46"/><Relationship Type="http://schemas.openxmlformats.org/officeDocument/2006/relationships/hyperlink" Target="https://chejiahao.autohome.com.cn/info/25909400" TargetMode="External" Id="rId47"/><Relationship Type="http://schemas.openxmlformats.org/officeDocument/2006/relationships/hyperlink" Target="https://chejiahao.autohome.com.cn/info/25909400" TargetMode="External" Id="rId48"/><Relationship Type="http://schemas.openxmlformats.org/officeDocument/2006/relationships/hyperlink" Target="https://www.catl.com/news/9884.html" TargetMode="External" Id="rId49"/><Relationship Type="http://schemas.openxmlformats.org/officeDocument/2006/relationships/hyperlink" Target="https://www.catl.com/news/9884.html" TargetMode="Externa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6"/>
  <sheetViews>
    <sheetView workbookViewId="0">
      <pane xSplit="5" ySplit="12" topLeftCell="F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34" customWidth="1" min="3" max="3"/>
    <col width="52" customWidth="1" min="4" max="4"/>
    <col width="8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46" customWidth="1" min="24" max="24"/>
  </cols>
  <sheetData>
    <row r="1" ht="20" customHeight="1">
      <c r="A1" s="1" t="inlineStr">
        <is>
          <t>「从假设到决策」全链条主表 —— 由 configs/base.toml + src/ 实跑生成，公式自校验</t>
        </is>
      </c>
    </row>
    <row r="2">
      <c r="A2" s="2" t="inlineStr">
        <is>
          <t>列的排布：4 类车型 + 营运合计 + 总计，各 3 情景（悲观/中性/乐观）。中性档 == 模型基线。</t>
        </is>
      </c>
    </row>
    <row r="3">
      <c r="A3" s="2" t="inlineStr">
        <is>
          <t>行的排布：先主项、再把依赖参数逐层展开（↳ 为上一主项的输入参数），一直拆到 config 里的根本假设。</t>
        </is>
      </c>
    </row>
    <row r="4">
      <c r="A4" s="2" t="inlineStr">
        <is>
          <t>口径：choco25 电池池由乘用营运与私家共享，池级指标（收入/成本/站数等）按换电量份额分摊到车型，已在计算链注明。</t>
        </is>
      </c>
    </row>
    <row r="5">
      <c r="A5" s="2" t="inlineStr">
        <is>
          <t>强度量（渗透率/里程/电耗/频次等）按「当情景换电车辆」加权；故总计列会随车型结构变化——例如乐观情景私家车占比上升会拉低全网加权换电渗透率，这是口径定义而非错误。</t>
        </is>
      </c>
    </row>
    <row r="6">
      <c r="A6" s="2" t="inlineStr">
        <is>
          <t>可用续航=背电量×补能比例÷电耗、频次=里程÷可用续航；模型先按场景算、再加权，本表是跨场景加权后的算术均值，故「频次」未必精确等于「里程÷可用续航」（加权次序不同），但量级一致。</t>
        </is>
      </c>
    </row>
    <row r="7">
      <c r="A7" s="2" t="inlineStr">
        <is>
          <t>数值全部来自模型实跑，非手抄；公式重算与模型值不符时脚本直接报错（自校验），模型改版重跑即得新表。</t>
        </is>
      </c>
    </row>
    <row r="8">
      <c r="A8" s="2" t="inlineStr">
        <is>
          <t>分场景明细行（如「重卡·短途 场景权重」）只在所属车型列显示数值，营运合计/总计列留空，避免把单车型的场景值误当汇总。</t>
        </is>
      </c>
    </row>
    <row r="9">
      <c r="A9" s="2" t="inlineStr">
        <is>
          <t>逐年展开仅在值真正逐年变化时才展开行（NEV渗透率、净增）；场景结构逐年恒定者只保留分场景行（如换电渗透/CATL份额），不重复 3×5 行。</t>
        </is>
      </c>
    </row>
    <row r="11">
      <c r="A11" s="3" t="n"/>
      <c r="B11" s="3" t="n"/>
      <c r="C11" s="3" t="n"/>
      <c r="D11" s="3" t="n"/>
      <c r="E11" s="3" t="inlineStr">
        <is>
          <t>单位</t>
        </is>
      </c>
      <c r="F11" s="3" t="inlineStr">
        <is>
          <t>重卡</t>
        </is>
      </c>
      <c r="G11" s="4" t="n"/>
      <c r="H11" s="4" t="n"/>
      <c r="I11" s="3" t="inlineStr">
        <is>
          <t>城配</t>
        </is>
      </c>
      <c r="J11" s="4" t="n"/>
      <c r="K11" s="4" t="n"/>
      <c r="L11" s="3" t="inlineStr">
        <is>
          <t>乘用营运</t>
        </is>
      </c>
      <c r="M11" s="4" t="n"/>
      <c r="N11" s="4" t="n"/>
      <c r="O11" s="3" t="inlineStr">
        <is>
          <t>营运合计</t>
        </is>
      </c>
      <c r="P11" s="4" t="n"/>
      <c r="Q11" s="4" t="n"/>
      <c r="R11" s="3" t="inlineStr">
        <is>
          <t>私家</t>
        </is>
      </c>
      <c r="S11" s="4" t="n"/>
      <c r="T11" s="4" t="n"/>
      <c r="U11" s="3" t="inlineStr">
        <is>
          <t>总计</t>
        </is>
      </c>
      <c r="V11" s="4" t="n"/>
      <c r="W11" s="4" t="n"/>
      <c r="X11" s="3" t="inlineStr">
        <is>
          <t>信源（最终可用版本·点击可开链接）</t>
        </is>
      </c>
    </row>
    <row r="12">
      <c r="A12" s="3" t="inlineStr">
        <is>
          <t>编号</t>
        </is>
      </c>
      <c r="B12" s="3" t="inlineStr">
        <is>
          <t>指标（中文）</t>
        </is>
      </c>
      <c r="C12" s="3" t="inlineStr">
        <is>
          <t>英文参数名 / 代码路径</t>
        </is>
      </c>
      <c r="D12" s="3" t="inlineStr">
        <is>
          <t>计算链（真实公式）</t>
        </is>
      </c>
      <c r="E12" s="3" t="inlineStr">
        <is>
          <t>单位</t>
        </is>
      </c>
      <c r="F12" s="3" t="inlineStr">
        <is>
          <t>悲观</t>
        </is>
      </c>
      <c r="G12" s="3" t="inlineStr">
        <is>
          <t>中性</t>
        </is>
      </c>
      <c r="H12" s="3" t="inlineStr">
        <is>
          <t>乐观</t>
        </is>
      </c>
      <c r="I12" s="3" t="inlineStr">
        <is>
          <t>悲观</t>
        </is>
      </c>
      <c r="J12" s="3" t="inlineStr">
        <is>
          <t>中性</t>
        </is>
      </c>
      <c r="K12" s="3" t="inlineStr">
        <is>
          <t>乐观</t>
        </is>
      </c>
      <c r="L12" s="3" t="inlineStr">
        <is>
          <t>悲观</t>
        </is>
      </c>
      <c r="M12" s="3" t="inlineStr">
        <is>
          <t>中性</t>
        </is>
      </c>
      <c r="N12" s="3" t="inlineStr">
        <is>
          <t>乐观</t>
        </is>
      </c>
      <c r="O12" s="3" t="inlineStr">
        <is>
          <t>悲观</t>
        </is>
      </c>
      <c r="P12" s="3" t="inlineStr">
        <is>
          <t>中性</t>
        </is>
      </c>
      <c r="Q12" s="3" t="inlineStr">
        <is>
          <t>乐观</t>
        </is>
      </c>
      <c r="R12" s="3" t="inlineStr">
        <is>
          <t>悲观</t>
        </is>
      </c>
      <c r="S12" s="3" t="inlineStr">
        <is>
          <t>中性</t>
        </is>
      </c>
      <c r="T12" s="3" t="inlineStr">
        <is>
          <t>乐观</t>
        </is>
      </c>
      <c r="U12" s="3" t="inlineStr">
        <is>
          <t>悲观</t>
        </is>
      </c>
      <c r="V12" s="3" t="inlineStr">
        <is>
          <t>中性</t>
        </is>
      </c>
      <c r="W12" s="3" t="inlineStr">
        <is>
          <t>乐观</t>
        </is>
      </c>
      <c r="X12" s="3" t="inlineStr">
        <is>
          <t>信源（最终可用）</t>
        </is>
      </c>
    </row>
    <row r="13">
      <c r="B13" s="5" t="inlineStr">
        <is>
          <t>A. 车辆层：保有量 / 更新 / 渗透 / 份额 → 进宁德换电车辆 → 换电车辆（终局·三情景×三口径）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88" customHeight="1">
      <c r="A14" s="7" t="n">
        <v>1</v>
      </c>
      <c r="B14" s="8" t="inlineStr">
        <is>
          <t>换电车辆（万辆）</t>
        </is>
      </c>
      <c r="C14" s="9" t="inlineStr">
        <is>
          <t>scale.operating_stock_by_vehicle_wan</t>
        </is>
      </c>
      <c r="D14" s="9" t="inlineStr">
        <is>
          <t>＝ Σ_{车×场景×年}[ 当年电动新增 × 场景权重 × 换电渗透率 × min(1, CATL换电份额＋份额上修) ]＋ 首年存量CATL换电结转（仅 y=2026）
场景结构逐年恒定、不逐年展开；仅 NEV渗透率 / 当年电动新增 逐年变化，见下钻</t>
        </is>
      </c>
      <c r="E14" s="9" t="inlineStr">
        <is>
          <t>万辆</t>
        </is>
      </c>
      <c r="F14" s="10" t="n">
        <v>38</v>
      </c>
      <c r="G14" s="10" t="n">
        <v>38</v>
      </c>
      <c r="H14" s="10" t="n">
        <v>38</v>
      </c>
      <c r="I14" s="10" t="n">
        <v>85.5</v>
      </c>
      <c r="J14" s="10" t="n">
        <v>85.5</v>
      </c>
      <c r="K14" s="10" t="n">
        <v>85.5</v>
      </c>
      <c r="L14" s="10" t="n">
        <v>84</v>
      </c>
      <c r="M14" s="10" t="n">
        <v>84</v>
      </c>
      <c r="N14" s="10" t="n">
        <v>84</v>
      </c>
      <c r="O14" s="10" t="n">
        <v>207.5</v>
      </c>
      <c r="P14" s="10" t="n">
        <v>207.5</v>
      </c>
      <c r="Q14" s="10" t="n">
        <v>207.5</v>
      </c>
      <c r="R14" s="10" t="n">
        <v>50.9</v>
      </c>
      <c r="S14" s="10" t="n">
        <v>144.4</v>
      </c>
      <c r="T14" s="10" t="n">
        <v>250.6</v>
      </c>
      <c r="U14" s="10" t="n">
        <v>258.4</v>
      </c>
      <c r="V14" s="10" t="n">
        <v>351.9</v>
      </c>
      <c r="W14" s="10" t="n">
        <v>458.1</v>
      </c>
      <c r="X14" s="11" t="inlineStr">
        <is>
          <t>自下而上 5 层漏斗（保有→更新→电动化→换电渗透→CATL份额→进宁德），分项信源见下行</t>
        </is>
      </c>
    </row>
    <row r="15" ht="46" customHeight="1">
      <c r="B15" s="12" t="inlineStr">
        <is>
          <t>↳ 当年电动新增（万辆/年）</t>
        </is>
      </c>
      <c r="C15" s="12">
        <f> 营运车: 保有量÷更新周期×NEV渗透率×纯电占比 | 私家/Robotaxi: 净增×纯电占比</f>
        <v/>
      </c>
      <c r="D15" s="12" t="inlineStr">
        <is>
          <t>＝ 营运车：保有量 ÷ 更新周期 × NEV渗透率 × 纯电占比；私家/Robotaxi：净增 × 纯电占比（逐年值见下钻）</t>
        </is>
      </c>
      <c r="E15" s="12" t="inlineStr">
        <is>
          <t>万辆</t>
        </is>
      </c>
      <c r="F15" s="13" t="n">
        <v>50</v>
      </c>
      <c r="G15" s="13" t="n">
        <v>50</v>
      </c>
      <c r="H15" s="13" t="n">
        <v>50</v>
      </c>
      <c r="I15" s="13" t="n">
        <v>178.125</v>
      </c>
      <c r="J15" s="13" t="n">
        <v>178.125</v>
      </c>
      <c r="K15" s="13" t="n">
        <v>178.125</v>
      </c>
      <c r="L15" s="13" t="n">
        <v>61.62878787878788</v>
      </c>
      <c r="M15" s="13" t="n">
        <v>61.62878787878788</v>
      </c>
      <c r="N15" s="13" t="n">
        <v>61.62878787878788</v>
      </c>
      <c r="O15" s="13" t="n">
        <v>289.7537878787879</v>
      </c>
      <c r="P15" s="13" t="n">
        <v>289.7537878787879</v>
      </c>
      <c r="Q15" s="13" t="n">
        <v>289.7537878787879</v>
      </c>
      <c r="R15" s="13" t="n">
        <v>2300</v>
      </c>
      <c r="S15" s="13" t="n">
        <v>2300</v>
      </c>
      <c r="T15" s="13" t="n">
        <v>2300</v>
      </c>
      <c r="U15" s="13" t="n">
        <v>2589.753787878788</v>
      </c>
      <c r="V15" s="13" t="n">
        <v>2589.753787878788</v>
      </c>
      <c r="W15" s="13" t="n">
        <v>2589.753787878788</v>
      </c>
      <c r="X15" s="14" t="inlineStr">
        <is>
          <t>＝总保有÷更新周期×NEV渗透率(末年)；净增口径＝末年净增×纯电占比</t>
        </is>
      </c>
    </row>
    <row r="16" ht="46" customHeight="1">
      <c r="B16" s="12" t="inlineStr">
        <is>
          <t>↳↳ 保有量（万辆）</t>
        </is>
      </c>
      <c r="C16" s="12" t="inlineStr">
        <is>
          <t>vehicles.{v}.stock_wan | operating_demand 里程池反推</t>
        </is>
      </c>
      <c r="D16" s="12" t="inlineStr"/>
      <c r="E16" s="12" t="inlineStr">
        <is>
          <t>万辆</t>
        </is>
      </c>
      <c r="F16" s="13" t="n">
        <v>900</v>
      </c>
      <c r="G16" s="13" t="n">
        <v>900</v>
      </c>
      <c r="H16" s="13" t="n">
        <v>900</v>
      </c>
      <c r="I16" s="13" t="n">
        <v>1500</v>
      </c>
      <c r="J16" s="13" t="n">
        <v>1500</v>
      </c>
      <c r="K16" s="13" t="n">
        <v>1500</v>
      </c>
      <c r="L16" s="13" t="n">
        <v>253.030303030303</v>
      </c>
      <c r="M16" s="13" t="n">
        <v>253.030303030303</v>
      </c>
      <c r="N16" s="13" t="n">
        <v>253.030303030303</v>
      </c>
      <c r="O16" s="13" t="n">
        <v>2653.030303030303</v>
      </c>
      <c r="P16" s="13" t="n">
        <v>2653.030303030303</v>
      </c>
      <c r="Q16" s="13" t="n">
        <v>2653.030303030303</v>
      </c>
      <c r="R16" s="15" t="inlineStr">
        <is>
          <t>—</t>
        </is>
      </c>
      <c r="S16" s="15" t="inlineStr">
        <is>
          <t>—</t>
        </is>
      </c>
      <c r="T16" s="15" t="inlineStr">
        <is>
          <t>—</t>
        </is>
      </c>
      <c r="U16" s="13" t="n">
        <v>2653.030303030303</v>
      </c>
      <c r="V16" s="13" t="n">
        <v>2653.030303030303</v>
      </c>
      <c r="W16" s="13" t="n">
        <v>2653.030303030303</v>
      </c>
      <c r="X16" s="11" t="inlineStr">
        <is>
          <t>重卡/城配＝2030 保有假设（900/1500 万）；出租＝交通运输部公报 132.31 万；网约＝营运里程池反推；私家/Robotaxi 为净增口径、无保有量</t>
        </is>
      </c>
    </row>
    <row r="17" ht="32" customHeight="1">
      <c r="B17" s="12" t="inlineStr">
        <is>
          <t>↳↳ 更新周期（年）</t>
        </is>
      </c>
      <c r="C17" s="12" t="inlineStr">
        <is>
          <t>vehicles.{v}.replacement_cycle_years</t>
        </is>
      </c>
      <c r="D17" s="12" t="inlineStr"/>
      <c r="E17" s="12" t="inlineStr">
        <is>
          <t>年</t>
        </is>
      </c>
      <c r="F17" s="13" t="n">
        <v>9</v>
      </c>
      <c r="G17" s="13" t="n">
        <v>9</v>
      </c>
      <c r="H17" s="13" t="n">
        <v>9</v>
      </c>
      <c r="I17" s="13" t="n">
        <v>8</v>
      </c>
      <c r="J17" s="13" t="n">
        <v>8</v>
      </c>
      <c r="K17" s="13" t="n">
        <v>8</v>
      </c>
      <c r="L17" s="13" t="n">
        <v>8</v>
      </c>
      <c r="M17" s="13" t="n">
        <v>8</v>
      </c>
      <c r="N17" s="13" t="n">
        <v>8</v>
      </c>
      <c r="O17" s="13" t="n">
        <v>8.24126984126984</v>
      </c>
      <c r="P17" s="13" t="n">
        <v>8.24126984126984</v>
      </c>
      <c r="Q17" s="13" t="n">
        <v>8.24126984126984</v>
      </c>
      <c r="R17" s="15" t="inlineStr">
        <is>
          <t>—</t>
        </is>
      </c>
      <c r="S17" s="15" t="inlineStr">
        <is>
          <t>—</t>
        </is>
      </c>
      <c r="T17" s="15" t="inlineStr">
        <is>
          <t>—</t>
        </is>
      </c>
      <c r="U17" s="13" t="n">
        <v>8.24126984126984</v>
      </c>
      <c r="V17" s="13" t="n">
        <v>8.24126984126984</v>
      </c>
      <c r="W17" s="13" t="n">
        <v>8.24126984126984</v>
      </c>
      <c r="X17" s="11" t="inlineStr">
        <is>
          <t>货车强制报废标准（15 年）→ 电动重卡取 9 年更新；城配 8 年；出租 8 年</t>
        </is>
      </c>
    </row>
    <row r="18" ht="46" customHeight="1">
      <c r="B18" s="12" t="inlineStr">
        <is>
          <t>↳↳ NEV渗透率（逐年）</t>
        </is>
      </c>
      <c r="C18" s="12" t="inlineStr">
        <is>
          <t>vehicles.{v}.nev_rates[y]（y=2026..2030）</t>
        </is>
      </c>
      <c r="D18" s="12" t="inlineStr">
        <is>
          <t>＝ ( 保有量÷更新周期×NEV渗透率×纯电占比 ) 中的 NEV 项；逐年 S 曲线，见下钻 5 年</t>
        </is>
      </c>
      <c r="E18" s="12" t="inlineStr">
        <is>
          <t>%</t>
        </is>
      </c>
      <c r="F18" s="15" t="inlineStr">
        <is>
          <t>—</t>
        </is>
      </c>
      <c r="G18" s="15" t="inlineStr">
        <is>
          <t>—</t>
        </is>
      </c>
      <c r="H18" s="15" t="inlineStr">
        <is>
          <t>—</t>
        </is>
      </c>
      <c r="I18" s="15" t="inlineStr">
        <is>
          <t>—</t>
        </is>
      </c>
      <c r="J18" s="15" t="inlineStr">
        <is>
          <t>—</t>
        </is>
      </c>
      <c r="K18" s="15" t="inlineStr">
        <is>
          <t>—</t>
        </is>
      </c>
      <c r="L18" s="15" t="inlineStr">
        <is>
          <t>—</t>
        </is>
      </c>
      <c r="M18" s="15" t="inlineStr">
        <is>
          <t>—</t>
        </is>
      </c>
      <c r="N18" s="15" t="inlineStr">
        <is>
          <t>—</t>
        </is>
      </c>
      <c r="O18" s="15" t="inlineStr">
        <is>
          <t>—</t>
        </is>
      </c>
      <c r="P18" s="15" t="inlineStr">
        <is>
          <t>—</t>
        </is>
      </c>
      <c r="Q18" s="15" t="inlineStr">
        <is>
          <t>—</t>
        </is>
      </c>
      <c r="R18" s="15" t="inlineStr">
        <is>
          <t>—</t>
        </is>
      </c>
      <c r="S18" s="15" t="inlineStr">
        <is>
          <t>—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—</t>
        </is>
      </c>
      <c r="W18" s="15" t="inlineStr">
        <is>
          <t>—</t>
        </is>
      </c>
      <c r="X18" s="11" t="inlineStr">
        <is>
          <t>重卡 S 曲线 2026=35%→2030=50%（国泰海通/JPM）；城配 32.4%→95%；出租/网约流量口径→100%；逐年全 5 年值见明细 sheet 表B2</t>
        </is>
      </c>
    </row>
    <row r="19" ht="46" customHeight="1">
      <c r="B19" s="12" t="inlineStr">
        <is>
          <t>↳↳↳ NEV渗透率 2026</t>
        </is>
      </c>
      <c r="C19" s="12" t="inlineStr">
        <is>
          <t>vehicles.{v}.nev_rates[0]</t>
        </is>
      </c>
      <c r="D19" s="12" t="inlineStr"/>
      <c r="E19" s="12" t="inlineStr">
        <is>
          <t>%</t>
        </is>
      </c>
      <c r="F19" s="16" t="n">
        <v>0.35</v>
      </c>
      <c r="G19" s="16" t="n">
        <v>0.35</v>
      </c>
      <c r="H19" s="16" t="n">
        <v>0.35</v>
      </c>
      <c r="I19" s="16" t="n">
        <v>0.5</v>
      </c>
      <c r="J19" s="16" t="n">
        <v>0.5</v>
      </c>
      <c r="K19" s="16" t="n">
        <v>0.5</v>
      </c>
      <c r="L19" s="16" t="n">
        <v>0.65</v>
      </c>
      <c r="M19" s="16" t="n">
        <v>0.65</v>
      </c>
      <c r="N19" s="16" t="n">
        <v>0.65</v>
      </c>
      <c r="O19" s="16" t="n">
        <v>0.4961904761904762</v>
      </c>
      <c r="P19" s="16" t="n">
        <v>0.4961904761904762</v>
      </c>
      <c r="Q19" s="16" t="n">
        <v>0.4961904761904762</v>
      </c>
      <c r="R19" s="15" t="inlineStr">
        <is>
          <t>—</t>
        </is>
      </c>
      <c r="S19" s="15" t="inlineStr">
        <is>
          <t>—</t>
        </is>
      </c>
      <c r="T19" s="15" t="inlineStr">
        <is>
          <t>—</t>
        </is>
      </c>
      <c r="U19" s="16" t="n">
        <v>0.4961904761904762</v>
      </c>
      <c r="V19" s="16" t="n">
        <v>0.4961904761904762</v>
      </c>
      <c r="W19" s="16" t="n">
        <v>0.4961904761904762</v>
      </c>
      <c r="X19" s="11" t="inlineStr">
        <is>
          <t>重卡 S 曲线 2026=35%→2030=50%（国泰海通/JPM）；城配 32.4%→95%；出租/网约流量口径→100%；逐年全 5 年值见明细 sheet 表B2</t>
        </is>
      </c>
    </row>
    <row r="20" ht="46" customHeight="1">
      <c r="B20" s="12" t="inlineStr">
        <is>
          <t>↳↳↳ NEV渗透率 2027</t>
        </is>
      </c>
      <c r="C20" s="12" t="inlineStr">
        <is>
          <t>vehicles.{v}.nev_rates[1]</t>
        </is>
      </c>
      <c r="D20" s="12" t="inlineStr"/>
      <c r="E20" s="12" t="inlineStr">
        <is>
          <t>%</t>
        </is>
      </c>
      <c r="F20" s="16" t="n">
        <v>0.43</v>
      </c>
      <c r="G20" s="16" t="n">
        <v>0.43</v>
      </c>
      <c r="H20" s="16" t="n">
        <v>0.43</v>
      </c>
      <c r="I20" s="16" t="n">
        <v>0.65</v>
      </c>
      <c r="J20" s="16" t="n">
        <v>0.65</v>
      </c>
      <c r="K20" s="16" t="n">
        <v>0.65</v>
      </c>
      <c r="L20" s="16" t="n">
        <v>0.8</v>
      </c>
      <c r="M20" s="16" t="n">
        <v>0.8</v>
      </c>
      <c r="N20" s="16" t="n">
        <v>0.8</v>
      </c>
      <c r="O20" s="16" t="n">
        <v>0.6293015873015874</v>
      </c>
      <c r="P20" s="16" t="n">
        <v>0.6293015873015874</v>
      </c>
      <c r="Q20" s="16" t="n">
        <v>0.6293015873015874</v>
      </c>
      <c r="R20" s="15" t="inlineStr">
        <is>
          <t>—</t>
        </is>
      </c>
      <c r="S20" s="15" t="inlineStr">
        <is>
          <t>—</t>
        </is>
      </c>
      <c r="T20" s="15" t="inlineStr">
        <is>
          <t>—</t>
        </is>
      </c>
      <c r="U20" s="16" t="n">
        <v>0.6293015873015874</v>
      </c>
      <c r="V20" s="16" t="n">
        <v>0.6293015873015874</v>
      </c>
      <c r="W20" s="16" t="n">
        <v>0.6293015873015874</v>
      </c>
      <c r="X20" s="11" t="inlineStr">
        <is>
          <t>重卡 S 曲线 2026=35%→2030=50%（国泰海通/JPM）；城配 32.4%→95%；出租/网约流量口径→100%；逐年全 5 年值见明细 sheet 表B2</t>
        </is>
      </c>
    </row>
    <row r="21" ht="46" customHeight="1">
      <c r="B21" s="12" t="inlineStr">
        <is>
          <t>↳↳↳ NEV渗透率 2028</t>
        </is>
      </c>
      <c r="C21" s="12" t="inlineStr">
        <is>
          <t>vehicles.{v}.nev_rates[2]</t>
        </is>
      </c>
      <c r="D21" s="12" t="inlineStr"/>
      <c r="E21" s="12" t="inlineStr">
        <is>
          <t>%</t>
        </is>
      </c>
      <c r="F21" s="16" t="n">
        <v>0.46</v>
      </c>
      <c r="G21" s="16" t="n">
        <v>0.46</v>
      </c>
      <c r="H21" s="16" t="n">
        <v>0.46</v>
      </c>
      <c r="I21" s="16" t="n">
        <v>0.8</v>
      </c>
      <c r="J21" s="16" t="n">
        <v>0.8</v>
      </c>
      <c r="K21" s="16" t="n">
        <v>0.8</v>
      </c>
      <c r="L21" s="16" t="n">
        <v>0.9</v>
      </c>
      <c r="M21" s="16" t="n">
        <v>0.9</v>
      </c>
      <c r="N21" s="16" t="n">
        <v>0.9</v>
      </c>
      <c r="O21" s="16" t="n">
        <v>0.7395555555555556</v>
      </c>
      <c r="P21" s="16" t="n">
        <v>0.7395555555555556</v>
      </c>
      <c r="Q21" s="16" t="n">
        <v>0.7395555555555556</v>
      </c>
      <c r="R21" s="15" t="inlineStr">
        <is>
          <t>—</t>
        </is>
      </c>
      <c r="S21" s="15" t="inlineStr">
        <is>
          <t>—</t>
        </is>
      </c>
      <c r="T21" s="15" t="inlineStr">
        <is>
          <t>—</t>
        </is>
      </c>
      <c r="U21" s="16" t="n">
        <v>0.7395555555555556</v>
      </c>
      <c r="V21" s="16" t="n">
        <v>0.7395555555555556</v>
      </c>
      <c r="W21" s="16" t="n">
        <v>0.7395555555555556</v>
      </c>
      <c r="X21" s="11" t="inlineStr">
        <is>
          <t>重卡 S 曲线 2026=35%→2030=50%（国泰海通/JPM）；城配 32.4%→95%；出租/网约流量口径→100%；逐年全 5 年值见明细 sheet 表B2</t>
        </is>
      </c>
    </row>
    <row r="22" ht="46" customHeight="1">
      <c r="B22" s="12" t="inlineStr">
        <is>
          <t>↳↳↳ NEV渗透率 2029</t>
        </is>
      </c>
      <c r="C22" s="12" t="inlineStr">
        <is>
          <t>vehicles.{v}.nev_rates[3]</t>
        </is>
      </c>
      <c r="D22" s="12" t="inlineStr"/>
      <c r="E22" s="12" t="inlineStr">
        <is>
          <t>%</t>
        </is>
      </c>
      <c r="F22" s="16" t="n">
        <v>0.48</v>
      </c>
      <c r="G22" s="16" t="n">
        <v>0.48</v>
      </c>
      <c r="H22" s="16" t="n">
        <v>0.48</v>
      </c>
      <c r="I22" s="16" t="n">
        <v>0.9</v>
      </c>
      <c r="J22" s="16" t="n">
        <v>0.9</v>
      </c>
      <c r="K22" s="16" t="n">
        <v>0.9</v>
      </c>
      <c r="L22" s="16" t="n">
        <v>0.95</v>
      </c>
      <c r="M22" s="16" t="n">
        <v>0.95</v>
      </c>
      <c r="N22" s="16" t="n">
        <v>0.95</v>
      </c>
      <c r="O22" s="16" t="n">
        <v>0.8094603174603174</v>
      </c>
      <c r="P22" s="16" t="n">
        <v>0.8094603174603174</v>
      </c>
      <c r="Q22" s="16" t="n">
        <v>0.8094603174603174</v>
      </c>
      <c r="R22" s="15" t="inlineStr">
        <is>
          <t>—</t>
        </is>
      </c>
      <c r="S22" s="15" t="inlineStr">
        <is>
          <t>—</t>
        </is>
      </c>
      <c r="T22" s="15" t="inlineStr">
        <is>
          <t>—</t>
        </is>
      </c>
      <c r="U22" s="16" t="n">
        <v>0.8094603174603174</v>
      </c>
      <c r="V22" s="16" t="n">
        <v>0.8094603174603174</v>
      </c>
      <c r="W22" s="16" t="n">
        <v>0.8094603174603174</v>
      </c>
      <c r="X22" s="11" t="inlineStr">
        <is>
          <t>重卡 S 曲线 2026=35%→2030=50%（国泰海通/JPM）；城配 32.4%→95%；出租/网约流量口径→100%；逐年全 5 年值见明细 sheet 表B2</t>
        </is>
      </c>
    </row>
    <row r="23" ht="46" customHeight="1">
      <c r="B23" s="12" t="inlineStr">
        <is>
          <t>↳↳↳ NEV渗透率 2030</t>
        </is>
      </c>
      <c r="C23" s="12" t="inlineStr">
        <is>
          <t>vehicles.{v}.nev_rates[4]</t>
        </is>
      </c>
      <c r="D23" s="12" t="inlineStr"/>
      <c r="E23" s="12" t="inlineStr">
        <is>
          <t>%</t>
        </is>
      </c>
      <c r="F23" s="16" t="n">
        <v>0.5</v>
      </c>
      <c r="G23" s="16" t="n">
        <v>0.5</v>
      </c>
      <c r="H23" s="16" t="n">
        <v>0.5</v>
      </c>
      <c r="I23" s="16" t="n">
        <v>0.95</v>
      </c>
      <c r="J23" s="16" t="n">
        <v>0.95</v>
      </c>
      <c r="K23" s="16" t="n">
        <v>0.95</v>
      </c>
      <c r="L23" s="16" t="n">
        <v>1</v>
      </c>
      <c r="M23" s="16" t="n">
        <v>1</v>
      </c>
      <c r="N23" s="16" t="n">
        <v>1</v>
      </c>
      <c r="O23" s="16" t="n">
        <v>0.8522222222222222</v>
      </c>
      <c r="P23" s="16" t="n">
        <v>0.8522222222222222</v>
      </c>
      <c r="Q23" s="16" t="n">
        <v>0.8522222222222222</v>
      </c>
      <c r="R23" s="15" t="inlineStr">
        <is>
          <t>—</t>
        </is>
      </c>
      <c r="S23" s="15" t="inlineStr">
        <is>
          <t>—</t>
        </is>
      </c>
      <c r="T23" s="15" t="inlineStr">
        <is>
          <t>—</t>
        </is>
      </c>
      <c r="U23" s="16" t="n">
        <v>0.8522222222222222</v>
      </c>
      <c r="V23" s="16" t="n">
        <v>0.8522222222222222</v>
      </c>
      <c r="W23" s="16" t="n">
        <v>0.8522222222222222</v>
      </c>
      <c r="X23" s="11" t="inlineStr">
        <is>
          <t>重卡 S 曲线 2026=35%→2030=50%（国泰海通/JPM）；城配 32.4%→95%；出租/网约流量口径→100%；逐年全 5 年值见明细 sheet 表B2</t>
        </is>
      </c>
    </row>
    <row r="24" ht="32" customHeight="1">
      <c r="B24" s="12" t="inlineStr">
        <is>
          <t>↳↳ 纯电占比</t>
        </is>
      </c>
      <c r="C24" s="12" t="inlineStr">
        <is>
          <t>vehicles.{v}.pure_electric_share</t>
        </is>
      </c>
      <c r="D24" s="12" t="inlineStr"/>
      <c r="E24" s="12" t="inlineStr">
        <is>
          <t>%</t>
        </is>
      </c>
      <c r="F24" s="16" t="n">
        <v>1</v>
      </c>
      <c r="G24" s="16" t="n">
        <v>1</v>
      </c>
      <c r="H24" s="16" t="n">
        <v>1</v>
      </c>
      <c r="I24" s="16" t="n">
        <v>1</v>
      </c>
      <c r="J24" s="16" t="n">
        <v>1</v>
      </c>
      <c r="K24" s="16" t="n">
        <v>1</v>
      </c>
      <c r="L24" s="16" t="n">
        <v>1</v>
      </c>
      <c r="M24" s="16" t="n">
        <v>1</v>
      </c>
      <c r="N24" s="16" t="n">
        <v>1</v>
      </c>
      <c r="O24" s="16" t="n">
        <v>1</v>
      </c>
      <c r="P24" s="16" t="n">
        <v>1</v>
      </c>
      <c r="Q24" s="16" t="n">
        <v>1</v>
      </c>
      <c r="R24" s="16" t="n">
        <v>1</v>
      </c>
      <c r="S24" s="16" t="n">
        <v>1</v>
      </c>
      <c r="T24" s="16" t="n">
        <v>1</v>
      </c>
      <c r="U24" s="16" t="n">
        <v>1</v>
      </c>
      <c r="V24" s="16" t="n">
        <v>1</v>
      </c>
      <c r="W24" s="16" t="n">
        <v>1</v>
      </c>
      <c r="X24" s="14" t="inlineStr">
        <is>
          <t>新能源中纯电占比（剔除插混）：重卡 96%、乘用营运 100%、私家 100%</t>
        </is>
      </c>
    </row>
    <row r="25" ht="88" customHeight="1">
      <c r="B25" s="12" t="inlineStr">
        <is>
          <t>↳↳ 净增（万辆/年）</t>
        </is>
      </c>
      <c r="C25" s="12" t="inlineStr">
        <is>
          <t>vehicles.{v}.annual_net_additions_wan[y]（私家/Robotaxi）</t>
        </is>
      </c>
      <c r="D25" s="12" t="inlineStr">
        <is>
          <t>＝ 私家车/Robotaxi 累计净增口径（基础假设）；Robotaxi 直接取，私家车×纯电占比；营运车为保有口径、无净增</t>
        </is>
      </c>
      <c r="E25" s="12" t="inlineStr">
        <is>
          <t>万辆</t>
        </is>
      </c>
      <c r="F25" s="15" t="inlineStr">
        <is>
          <t>—</t>
        </is>
      </c>
      <c r="G25" s="15" t="inlineStr">
        <is>
          <t>—</t>
        </is>
      </c>
      <c r="H25" s="15" t="inlineStr">
        <is>
          <t>—</t>
        </is>
      </c>
      <c r="I25" s="15" t="inlineStr">
        <is>
          <t>—</t>
        </is>
      </c>
      <c r="J25" s="15" t="inlineStr">
        <is>
          <t>—</t>
        </is>
      </c>
      <c r="K25" s="15" t="inlineStr">
        <is>
          <t>—</t>
        </is>
      </c>
      <c r="L25" s="15" t="inlineStr">
        <is>
          <t>—</t>
        </is>
      </c>
      <c r="M25" s="15" t="inlineStr">
        <is>
          <t>—</t>
        </is>
      </c>
      <c r="N25" s="15" t="inlineStr">
        <is>
          <t>—</t>
        </is>
      </c>
      <c r="O25" s="15" t="inlineStr">
        <is>
          <t>—</t>
        </is>
      </c>
      <c r="P25" s="15" t="inlineStr">
        <is>
          <t>—</t>
        </is>
      </c>
      <c r="Q25" s="15" t="inlineStr">
        <is>
          <t>—</t>
        </is>
      </c>
      <c r="R25" s="15" t="inlineStr">
        <is>
          <t>—</t>
        </is>
      </c>
      <c r="S25" s="15" t="inlineStr">
        <is>
          <t>—</t>
        </is>
      </c>
      <c r="T25" s="15" t="inlineStr">
        <is>
          <t>—</t>
        </is>
      </c>
      <c r="U25" s="15" t="inlineStr">
        <is>
          <t>—</t>
        </is>
      </c>
      <c r="V25" s="15" t="inlineStr">
        <is>
          <t>—</t>
        </is>
      </c>
      <c r="W25" s="15" t="inlineStr">
        <is>
          <t>—</t>
        </is>
      </c>
      <c r="X25" s="11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</row>
    <row r="26" ht="88" customHeight="1">
      <c r="B26" s="12" t="inlineStr">
        <is>
          <t>↳↳↳ 净增 2026</t>
        </is>
      </c>
      <c r="C26" s="12" t="inlineStr">
        <is>
          <t>vehicles.{v}.annual_net_additions_wan[0]</t>
        </is>
      </c>
      <c r="D26" s="12" t="inlineStr"/>
      <c r="E26" s="12" t="inlineStr">
        <is>
          <t>万辆</t>
        </is>
      </c>
      <c r="F26" s="15" t="inlineStr">
        <is>
          <t>—</t>
        </is>
      </c>
      <c r="G26" s="15" t="inlineStr">
        <is>
          <t>—</t>
        </is>
      </c>
      <c r="H26" s="15" t="inlineStr">
        <is>
          <t>—</t>
        </is>
      </c>
      <c r="I26" s="15" t="inlineStr">
        <is>
          <t>—</t>
        </is>
      </c>
      <c r="J26" s="15" t="inlineStr">
        <is>
          <t>—</t>
        </is>
      </c>
      <c r="K26" s="15" t="inlineStr">
        <is>
          <t>—</t>
        </is>
      </c>
      <c r="L26" s="13" t="n">
        <v>0</v>
      </c>
      <c r="M26" s="13" t="n">
        <v>0</v>
      </c>
      <c r="N26" s="13" t="n">
        <v>0</v>
      </c>
      <c r="O26" s="13" t="n">
        <v>0</v>
      </c>
      <c r="P26" s="13" t="n">
        <v>0</v>
      </c>
      <c r="Q26" s="13" t="n">
        <v>0</v>
      </c>
      <c r="R26" s="13" t="n">
        <v>1200</v>
      </c>
      <c r="S26" s="13" t="n">
        <v>1200</v>
      </c>
      <c r="T26" s="13" t="n">
        <v>1200</v>
      </c>
      <c r="U26" s="13" t="n">
        <v>1200</v>
      </c>
      <c r="V26" s="13" t="n">
        <v>1200</v>
      </c>
      <c r="W26" s="13" t="n">
        <v>1200</v>
      </c>
      <c r="X26" s="11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</row>
    <row r="27" ht="88" customHeight="1">
      <c r="B27" s="12" t="inlineStr">
        <is>
          <t>↳↳↳ 净增 2027</t>
        </is>
      </c>
      <c r="C27" s="12" t="inlineStr">
        <is>
          <t>vehicles.{v}.annual_net_additions_wan[1]</t>
        </is>
      </c>
      <c r="D27" s="12" t="inlineStr"/>
      <c r="E27" s="12" t="inlineStr">
        <is>
          <t>万辆</t>
        </is>
      </c>
      <c r="F27" s="15" t="inlineStr">
        <is>
          <t>—</t>
        </is>
      </c>
      <c r="G27" s="15" t="inlineStr">
        <is>
          <t>—</t>
        </is>
      </c>
      <c r="H27" s="15" t="inlineStr">
        <is>
          <t>—</t>
        </is>
      </c>
      <c r="I27" s="15" t="inlineStr">
        <is>
          <t>—</t>
        </is>
      </c>
      <c r="J27" s="15" t="inlineStr">
        <is>
          <t>—</t>
        </is>
      </c>
      <c r="K27" s="15" t="inlineStr">
        <is>
          <t>—</t>
        </is>
      </c>
      <c r="L27" s="13" t="n">
        <v>0</v>
      </c>
      <c r="M27" s="13" t="n">
        <v>0</v>
      </c>
      <c r="N27" s="13" t="n">
        <v>0</v>
      </c>
      <c r="O27" s="13" t="n">
        <v>0</v>
      </c>
      <c r="P27" s="13" t="n">
        <v>0</v>
      </c>
      <c r="Q27" s="13" t="n">
        <v>0</v>
      </c>
      <c r="R27" s="13" t="n">
        <v>1300</v>
      </c>
      <c r="S27" s="13" t="n">
        <v>1300</v>
      </c>
      <c r="T27" s="13" t="n">
        <v>1300</v>
      </c>
      <c r="U27" s="13" t="n">
        <v>1300</v>
      </c>
      <c r="V27" s="13" t="n">
        <v>1300</v>
      </c>
      <c r="W27" s="13" t="n">
        <v>1300</v>
      </c>
      <c r="X27" s="11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</row>
    <row r="28" ht="88" customHeight="1">
      <c r="B28" s="12" t="inlineStr">
        <is>
          <t>↳↳↳ 净增 2028</t>
        </is>
      </c>
      <c r="C28" s="12" t="inlineStr">
        <is>
          <t>vehicles.{v}.annual_net_additions_wan[2]</t>
        </is>
      </c>
      <c r="D28" s="12" t="inlineStr"/>
      <c r="E28" s="12" t="inlineStr">
        <is>
          <t>万辆</t>
        </is>
      </c>
      <c r="F28" s="15" t="inlineStr">
        <is>
          <t>—</t>
        </is>
      </c>
      <c r="G28" s="15" t="inlineStr">
        <is>
          <t>—</t>
        </is>
      </c>
      <c r="H28" s="15" t="inlineStr">
        <is>
          <t>—</t>
        </is>
      </c>
      <c r="I28" s="15" t="inlineStr">
        <is>
          <t>—</t>
        </is>
      </c>
      <c r="J28" s="15" t="inlineStr">
        <is>
          <t>—</t>
        </is>
      </c>
      <c r="K28" s="15" t="inlineStr">
        <is>
          <t>—</t>
        </is>
      </c>
      <c r="L28" s="13" t="n">
        <v>5</v>
      </c>
      <c r="M28" s="13" t="n">
        <v>5</v>
      </c>
      <c r="N28" s="13" t="n">
        <v>5</v>
      </c>
      <c r="O28" s="13" t="n">
        <v>5</v>
      </c>
      <c r="P28" s="13" t="n">
        <v>5</v>
      </c>
      <c r="Q28" s="13" t="n">
        <v>5</v>
      </c>
      <c r="R28" s="13" t="n">
        <v>1600</v>
      </c>
      <c r="S28" s="13" t="n">
        <v>1600</v>
      </c>
      <c r="T28" s="13" t="n">
        <v>1600</v>
      </c>
      <c r="U28" s="13" t="n">
        <v>1605</v>
      </c>
      <c r="V28" s="13" t="n">
        <v>1605</v>
      </c>
      <c r="W28" s="13" t="n">
        <v>1605</v>
      </c>
      <c r="X28" s="11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</row>
    <row r="29" ht="88" customHeight="1">
      <c r="B29" s="12" t="inlineStr">
        <is>
          <t>↳↳↳ 净增 2029</t>
        </is>
      </c>
      <c r="C29" s="12" t="inlineStr">
        <is>
          <t>vehicles.{v}.annual_net_additions_wan[3]</t>
        </is>
      </c>
      <c r="D29" s="12" t="inlineStr"/>
      <c r="E29" s="12" t="inlineStr">
        <is>
          <t>万辆</t>
        </is>
      </c>
      <c r="F29" s="15" t="inlineStr">
        <is>
          <t>—</t>
        </is>
      </c>
      <c r="G29" s="15" t="inlineStr">
        <is>
          <t>—</t>
        </is>
      </c>
      <c r="H29" s="15" t="inlineStr">
        <is>
          <t>—</t>
        </is>
      </c>
      <c r="I29" s="15" t="inlineStr">
        <is>
          <t>—</t>
        </is>
      </c>
      <c r="J29" s="15" t="inlineStr">
        <is>
          <t>—</t>
        </is>
      </c>
      <c r="K29" s="15" t="inlineStr">
        <is>
          <t>—</t>
        </is>
      </c>
      <c r="L29" s="13" t="n">
        <v>15</v>
      </c>
      <c r="M29" s="13" t="n">
        <v>15</v>
      </c>
      <c r="N29" s="13" t="n">
        <v>15</v>
      </c>
      <c r="O29" s="13" t="n">
        <v>15</v>
      </c>
      <c r="P29" s="13" t="n">
        <v>15</v>
      </c>
      <c r="Q29" s="13" t="n">
        <v>15</v>
      </c>
      <c r="R29" s="13" t="n">
        <v>2000</v>
      </c>
      <c r="S29" s="13" t="n">
        <v>2000</v>
      </c>
      <c r="T29" s="13" t="n">
        <v>2000</v>
      </c>
      <c r="U29" s="13" t="n">
        <v>2015</v>
      </c>
      <c r="V29" s="13" t="n">
        <v>2015</v>
      </c>
      <c r="W29" s="13" t="n">
        <v>2015</v>
      </c>
      <c r="X29" s="11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</row>
    <row r="30" ht="88" customHeight="1">
      <c r="B30" s="12" t="inlineStr">
        <is>
          <t>↳↳↳ 净增 2030</t>
        </is>
      </c>
      <c r="C30" s="12" t="inlineStr">
        <is>
          <t>vehicles.{v}.annual_net_additions_wan[4]</t>
        </is>
      </c>
      <c r="D30" s="12" t="inlineStr"/>
      <c r="E30" s="12" t="inlineStr">
        <is>
          <t>万辆</t>
        </is>
      </c>
      <c r="F30" s="15" t="inlineStr">
        <is>
          <t>—</t>
        </is>
      </c>
      <c r="G30" s="15" t="inlineStr">
        <is>
          <t>—</t>
        </is>
      </c>
      <c r="H30" s="15" t="inlineStr">
        <is>
          <t>—</t>
        </is>
      </c>
      <c r="I30" s="15" t="inlineStr">
        <is>
          <t>—</t>
        </is>
      </c>
      <c r="J30" s="15" t="inlineStr">
        <is>
          <t>—</t>
        </is>
      </c>
      <c r="K30" s="15" t="inlineStr">
        <is>
          <t>—</t>
        </is>
      </c>
      <c r="L30" s="13" t="n">
        <v>30</v>
      </c>
      <c r="M30" s="13" t="n">
        <v>30</v>
      </c>
      <c r="N30" s="13" t="n">
        <v>30</v>
      </c>
      <c r="O30" s="13" t="n">
        <v>30</v>
      </c>
      <c r="P30" s="13" t="n">
        <v>30</v>
      </c>
      <c r="Q30" s="13" t="n">
        <v>30</v>
      </c>
      <c r="R30" s="13" t="n">
        <v>2300</v>
      </c>
      <c r="S30" s="13" t="n">
        <v>2300</v>
      </c>
      <c r="T30" s="13" t="n">
        <v>2300</v>
      </c>
      <c r="U30" s="13" t="n">
        <v>2330</v>
      </c>
      <c r="V30" s="13" t="n">
        <v>2330</v>
      </c>
      <c r="W30" s="13" t="n">
        <v>2330</v>
      </c>
      <c r="X30" s="11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</row>
    <row r="31" ht="46" customHeight="1">
      <c r="B31" s="12" t="inlineStr">
        <is>
          <t>↳↳ 当年电动新增 2026</t>
        </is>
      </c>
      <c r="C31" s="12">
        <f> 上层公式按年代入（y=2026）</f>
        <v/>
      </c>
      <c r="D31" s="12" t="inlineStr"/>
      <c r="E31" s="12" t="inlineStr">
        <is>
          <t>万辆</t>
        </is>
      </c>
      <c r="F31" s="13" t="n">
        <v>35</v>
      </c>
      <c r="G31" s="13" t="n">
        <v>35</v>
      </c>
      <c r="H31" s="13" t="n">
        <v>35</v>
      </c>
      <c r="I31" s="13" t="n">
        <v>93.75</v>
      </c>
      <c r="J31" s="13" t="n">
        <v>93.75</v>
      </c>
      <c r="K31" s="13" t="n">
        <v>93.75</v>
      </c>
      <c r="L31" s="13" t="n">
        <v>20.55871212121212</v>
      </c>
      <c r="M31" s="13" t="n">
        <v>20.55871212121212</v>
      </c>
      <c r="N31" s="13" t="n">
        <v>20.55871212121212</v>
      </c>
      <c r="O31" s="13" t="n">
        <v>149.3087121212121</v>
      </c>
      <c r="P31" s="13" t="n">
        <v>149.3087121212121</v>
      </c>
      <c r="Q31" s="13" t="n">
        <v>149.3087121212121</v>
      </c>
      <c r="R31" s="13" t="n">
        <v>1200</v>
      </c>
      <c r="S31" s="13" t="n">
        <v>1200</v>
      </c>
      <c r="T31" s="13" t="n">
        <v>1200</v>
      </c>
      <c r="U31" s="13" t="n">
        <v>1349.308712121212</v>
      </c>
      <c r="V31" s="13" t="n">
        <v>1349.308712121212</v>
      </c>
      <c r="W31" s="13" t="n">
        <v>1349.308712121212</v>
      </c>
      <c r="X31" s="14" t="inlineStr">
        <is>
          <t>＝ 上层「当年电动新增」公式按年代入：营运车 保有量÷更新周期×NEV_2026×纯电占比；私家/Robotaxi 净增_2026×纯电占比</t>
        </is>
      </c>
    </row>
    <row r="32" ht="46" customHeight="1">
      <c r="B32" s="12" t="inlineStr">
        <is>
          <t>↳↳ 当年电动新增 2027</t>
        </is>
      </c>
      <c r="C32" s="12">
        <f> 上层公式按年代入（y=2027）</f>
        <v/>
      </c>
      <c r="D32" s="12" t="inlineStr"/>
      <c r="E32" s="12" t="inlineStr">
        <is>
          <t>万辆</t>
        </is>
      </c>
      <c r="F32" s="13" t="n">
        <v>43</v>
      </c>
      <c r="G32" s="13" t="n">
        <v>43</v>
      </c>
      <c r="H32" s="13" t="n">
        <v>43</v>
      </c>
      <c r="I32" s="13" t="n">
        <v>121.875</v>
      </c>
      <c r="J32" s="13" t="n">
        <v>121.875</v>
      </c>
      <c r="K32" s="13" t="n">
        <v>121.875</v>
      </c>
      <c r="L32" s="13" t="n">
        <v>25.3030303030303</v>
      </c>
      <c r="M32" s="13" t="n">
        <v>25.3030303030303</v>
      </c>
      <c r="N32" s="13" t="n">
        <v>25.3030303030303</v>
      </c>
      <c r="O32" s="13" t="n">
        <v>190.1780303030303</v>
      </c>
      <c r="P32" s="13" t="n">
        <v>190.1780303030303</v>
      </c>
      <c r="Q32" s="13" t="n">
        <v>190.1780303030303</v>
      </c>
      <c r="R32" s="13" t="n">
        <v>1300</v>
      </c>
      <c r="S32" s="13" t="n">
        <v>1300</v>
      </c>
      <c r="T32" s="13" t="n">
        <v>1300</v>
      </c>
      <c r="U32" s="13" t="n">
        <v>1490.17803030303</v>
      </c>
      <c r="V32" s="13" t="n">
        <v>1490.17803030303</v>
      </c>
      <c r="W32" s="13" t="n">
        <v>1490.17803030303</v>
      </c>
      <c r="X32" s="14" t="inlineStr">
        <is>
          <t>＝ 上层「当年电动新增」公式按年代入：营运车 保有量÷更新周期×NEV_2027×纯电占比；私家/Robotaxi 净增_2027×纯电占比</t>
        </is>
      </c>
    </row>
    <row r="33" ht="46" customHeight="1">
      <c r="B33" s="12" t="inlineStr">
        <is>
          <t>↳↳ 当年电动新增 2028</t>
        </is>
      </c>
      <c r="C33" s="12">
        <f> 上层公式按年代入（y=2028）</f>
        <v/>
      </c>
      <c r="D33" s="12" t="inlineStr"/>
      <c r="E33" s="12" t="inlineStr">
        <is>
          <t>万辆</t>
        </is>
      </c>
      <c r="F33" s="13" t="n">
        <v>46</v>
      </c>
      <c r="G33" s="13" t="n">
        <v>46</v>
      </c>
      <c r="H33" s="13" t="n">
        <v>46</v>
      </c>
      <c r="I33" s="13" t="n">
        <v>150</v>
      </c>
      <c r="J33" s="13" t="n">
        <v>150</v>
      </c>
      <c r="K33" s="13" t="n">
        <v>150</v>
      </c>
      <c r="L33" s="13" t="n">
        <v>33.46590909090909</v>
      </c>
      <c r="M33" s="13" t="n">
        <v>33.46590909090909</v>
      </c>
      <c r="N33" s="13" t="n">
        <v>33.46590909090909</v>
      </c>
      <c r="O33" s="13" t="n">
        <v>229.4659090909091</v>
      </c>
      <c r="P33" s="13" t="n">
        <v>229.4659090909091</v>
      </c>
      <c r="Q33" s="13" t="n">
        <v>229.4659090909091</v>
      </c>
      <c r="R33" s="13" t="n">
        <v>1600</v>
      </c>
      <c r="S33" s="13" t="n">
        <v>1600</v>
      </c>
      <c r="T33" s="13" t="n">
        <v>1600</v>
      </c>
      <c r="U33" s="13" t="n">
        <v>1829.465909090909</v>
      </c>
      <c r="V33" s="13" t="n">
        <v>1829.465909090909</v>
      </c>
      <c r="W33" s="13" t="n">
        <v>1829.465909090909</v>
      </c>
      <c r="X33" s="14" t="inlineStr">
        <is>
          <t>＝ 上层「当年电动新增」公式按年代入：营运车 保有量÷更新周期×NEV_2028×纯电占比；私家/Robotaxi 净增_2028×纯电占比</t>
        </is>
      </c>
    </row>
    <row r="34" ht="46" customHeight="1">
      <c r="B34" s="12" t="inlineStr">
        <is>
          <t>↳↳ 当年电动新增 2029</t>
        </is>
      </c>
      <c r="C34" s="12">
        <f> 上层公式按年代入（y=2029）</f>
        <v/>
      </c>
      <c r="D34" s="12" t="inlineStr"/>
      <c r="E34" s="12" t="inlineStr">
        <is>
          <t>万辆</t>
        </is>
      </c>
      <c r="F34" s="13" t="n">
        <v>48</v>
      </c>
      <c r="G34" s="13" t="n">
        <v>48</v>
      </c>
      <c r="H34" s="13" t="n">
        <v>48</v>
      </c>
      <c r="I34" s="13" t="n">
        <v>168.75</v>
      </c>
      <c r="J34" s="13" t="n">
        <v>168.75</v>
      </c>
      <c r="K34" s="13" t="n">
        <v>168.75</v>
      </c>
      <c r="L34" s="13" t="n">
        <v>45.04734848484848</v>
      </c>
      <c r="M34" s="13" t="n">
        <v>45.04734848484848</v>
      </c>
      <c r="N34" s="13" t="n">
        <v>45.04734848484848</v>
      </c>
      <c r="O34" s="13" t="n">
        <v>261.7973484848485</v>
      </c>
      <c r="P34" s="13" t="n">
        <v>261.7973484848485</v>
      </c>
      <c r="Q34" s="13" t="n">
        <v>261.7973484848485</v>
      </c>
      <c r="R34" s="13" t="n">
        <v>2000</v>
      </c>
      <c r="S34" s="13" t="n">
        <v>2000</v>
      </c>
      <c r="T34" s="13" t="n">
        <v>2000</v>
      </c>
      <c r="U34" s="13" t="n">
        <v>2261.797348484848</v>
      </c>
      <c r="V34" s="13" t="n">
        <v>2261.797348484848</v>
      </c>
      <c r="W34" s="13" t="n">
        <v>2261.797348484848</v>
      </c>
      <c r="X34" s="14" t="inlineStr">
        <is>
          <t>＝ 上层「当年电动新增」公式按年代入：营运车 保有量÷更新周期×NEV_2029×纯电占比；私家/Robotaxi 净增_2029×纯电占比</t>
        </is>
      </c>
    </row>
    <row r="35" ht="46" customHeight="1">
      <c r="B35" s="12" t="inlineStr">
        <is>
          <t>↳↳ 当年电动新增 2030</t>
        </is>
      </c>
      <c r="C35" s="12">
        <f> 上层公式按年代入（y=2030）</f>
        <v/>
      </c>
      <c r="D35" s="12" t="inlineStr"/>
      <c r="E35" s="12" t="inlineStr">
        <is>
          <t>万辆</t>
        </is>
      </c>
      <c r="F35" s="13" t="n">
        <v>50</v>
      </c>
      <c r="G35" s="13" t="n">
        <v>50</v>
      </c>
      <c r="H35" s="13" t="n">
        <v>50</v>
      </c>
      <c r="I35" s="13" t="n">
        <v>178.125</v>
      </c>
      <c r="J35" s="13" t="n">
        <v>178.125</v>
      </c>
      <c r="K35" s="13" t="n">
        <v>178.125</v>
      </c>
      <c r="L35" s="13" t="n">
        <v>61.62878787878788</v>
      </c>
      <c r="M35" s="13" t="n">
        <v>61.62878787878788</v>
      </c>
      <c r="N35" s="13" t="n">
        <v>61.62878787878788</v>
      </c>
      <c r="O35" s="13" t="n">
        <v>289.7537878787879</v>
      </c>
      <c r="P35" s="13" t="n">
        <v>289.7537878787879</v>
      </c>
      <c r="Q35" s="13" t="n">
        <v>289.7537878787879</v>
      </c>
      <c r="R35" s="13" t="n">
        <v>2300</v>
      </c>
      <c r="S35" s="13" t="n">
        <v>2300</v>
      </c>
      <c r="T35" s="13" t="n">
        <v>2300</v>
      </c>
      <c r="U35" s="13" t="n">
        <v>2589.753787878788</v>
      </c>
      <c r="V35" s="13" t="n">
        <v>2589.753787878788</v>
      </c>
      <c r="W35" s="13" t="n">
        <v>2589.753787878788</v>
      </c>
      <c r="X35" s="14" t="inlineStr">
        <is>
          <t>＝ 上层「当年电动新增」公式按年代入：营运车 保有量÷更新周期×NEV_2030×纯电占比；私家/Robotaxi 净增_2030×纯电占比</t>
        </is>
      </c>
    </row>
    <row r="36" ht="46" customHeight="1">
      <c r="B36" s="12" t="inlineStr">
        <is>
          <t>↳ 场景权重（分场景）</t>
        </is>
      </c>
      <c r="C36" s="12" t="inlineStr">
        <is>
          <t>vehicles.{v}.scenes[s].weight</t>
        </is>
      </c>
      <c r="D36" s="12" t="inlineStr">
        <is>
          <t>＝ 分场景结构权重（见下钻逐场景）；× 当年电动新增 → 场景级电动新增</t>
        </is>
      </c>
      <c r="E36" s="12" t="inlineStr">
        <is>
          <t>%</t>
        </is>
      </c>
      <c r="F36" s="15" t="inlineStr">
        <is>
          <t>—</t>
        </is>
      </c>
      <c r="G36" s="15" t="inlineStr">
        <is>
          <t>—</t>
        </is>
      </c>
      <c r="H36" s="15" t="inlineStr">
        <is>
          <t>—</t>
        </is>
      </c>
      <c r="I36" s="15" t="inlineStr">
        <is>
          <t>—</t>
        </is>
      </c>
      <c r="J36" s="15" t="inlineStr">
        <is>
          <t>—</t>
        </is>
      </c>
      <c r="K36" s="15" t="inlineStr">
        <is>
          <t>—</t>
        </is>
      </c>
      <c r="L36" s="15" t="inlineStr">
        <is>
          <t>—</t>
        </is>
      </c>
      <c r="M36" s="15" t="inlineStr">
        <is>
          <t>—</t>
        </is>
      </c>
      <c r="N36" s="15" t="inlineStr">
        <is>
          <t>—</t>
        </is>
      </c>
      <c r="O36" s="15" t="inlineStr">
        <is>
          <t>—</t>
        </is>
      </c>
      <c r="P36" s="15" t="inlineStr">
        <is>
          <t>—</t>
        </is>
      </c>
      <c r="Q36" s="15" t="inlineStr">
        <is>
          <t>—</t>
        </is>
      </c>
      <c r="R36" s="15" t="inlineStr">
        <is>
          <t>—</t>
        </is>
      </c>
      <c r="S36" s="15" t="inlineStr">
        <is>
          <t>—</t>
        </is>
      </c>
      <c r="T36" s="15" t="inlineStr">
        <is>
          <t>—</t>
        </is>
      </c>
      <c r="U36" s="15" t="inlineStr">
        <is>
          <t>—</t>
        </is>
      </c>
      <c r="V36" s="15" t="inlineStr">
        <is>
          <t>—</t>
        </is>
      </c>
      <c r="W36" s="15" t="inlineStr">
        <is>
          <t>—</t>
        </is>
      </c>
      <c r="X36" s="11" t="inlineStr">
        <is>
          <t>重卡短途38%/中途50%/长途12%（JPM 续航分布）；城配高频30%/低频70%；私家价格带 8万下12.3%/8–15万40.4%/15万+47.3%（中汽协）</t>
        </is>
      </c>
    </row>
    <row r="37" ht="46" customHeight="1">
      <c r="B37" s="12" t="inlineStr">
        <is>
          <t>↳↳ 重卡·短途 场景权重</t>
        </is>
      </c>
      <c r="C37" s="12" t="inlineStr">
        <is>
          <t>scenes[].weight</t>
        </is>
      </c>
      <c r="D37" s="12" t="inlineStr"/>
      <c r="E37" s="12" t="inlineStr">
        <is>
          <t>%</t>
        </is>
      </c>
      <c r="F37" s="16" t="n">
        <v>0.38</v>
      </c>
      <c r="G37" s="16" t="n">
        <v>0.38</v>
      </c>
      <c r="H37" s="16" t="n">
        <v>0.38</v>
      </c>
      <c r="I37" s="15" t="inlineStr">
        <is>
          <t>—</t>
        </is>
      </c>
      <c r="J37" s="15" t="inlineStr">
        <is>
          <t>—</t>
        </is>
      </c>
      <c r="K37" s="15" t="inlineStr">
        <is>
          <t>—</t>
        </is>
      </c>
      <c r="L37" s="15" t="inlineStr">
        <is>
          <t>—</t>
        </is>
      </c>
      <c r="M37" s="15" t="inlineStr">
        <is>
          <t>—</t>
        </is>
      </c>
      <c r="N37" s="15" t="inlineStr">
        <is>
          <t>—</t>
        </is>
      </c>
      <c r="O37" s="15" t="inlineStr">
        <is>
          <t>—</t>
        </is>
      </c>
      <c r="P37" s="15" t="inlineStr">
        <is>
          <t>—</t>
        </is>
      </c>
      <c r="Q37" s="15" t="inlineStr">
        <is>
          <t>—</t>
        </is>
      </c>
      <c r="R37" s="15" t="inlineStr">
        <is>
          <t>—</t>
        </is>
      </c>
      <c r="S37" s="15" t="inlineStr">
        <is>
          <t>—</t>
        </is>
      </c>
      <c r="T37" s="15" t="inlineStr">
        <is>
          <t>—</t>
        </is>
      </c>
      <c r="U37" s="15" t="inlineStr">
        <is>
          <t>—</t>
        </is>
      </c>
      <c r="V37" s="15" t="inlineStr">
        <is>
          <t>—</t>
        </is>
      </c>
      <c r="W37" s="15" t="inlineStr">
        <is>
          <t>—</t>
        </is>
      </c>
      <c r="X37" s="11" t="inlineStr">
        <is>
          <t>重卡短途38%/中途50%/长途12%（JPM 续航分布）；城配高频30%/低频70%；私家价格带 8万下12.3%/8–15万40.4%/15万+47.3%（中汽协）</t>
        </is>
      </c>
    </row>
    <row r="38" ht="46" customHeight="1">
      <c r="B38" s="12" t="inlineStr">
        <is>
          <t>↳↳ 重卡·中途 场景权重</t>
        </is>
      </c>
      <c r="C38" s="12" t="inlineStr">
        <is>
          <t>scenes[].weight</t>
        </is>
      </c>
      <c r="D38" s="12" t="inlineStr"/>
      <c r="E38" s="12" t="inlineStr">
        <is>
          <t>%</t>
        </is>
      </c>
      <c r="F38" s="16" t="n">
        <v>0.5</v>
      </c>
      <c r="G38" s="16" t="n">
        <v>0.5</v>
      </c>
      <c r="H38" s="16" t="n">
        <v>0.5</v>
      </c>
      <c r="I38" s="15" t="inlineStr">
        <is>
          <t>—</t>
        </is>
      </c>
      <c r="J38" s="15" t="inlineStr">
        <is>
          <t>—</t>
        </is>
      </c>
      <c r="K38" s="15" t="inlineStr">
        <is>
          <t>—</t>
        </is>
      </c>
      <c r="L38" s="15" t="inlineStr">
        <is>
          <t>—</t>
        </is>
      </c>
      <c r="M38" s="15" t="inlineStr">
        <is>
          <t>—</t>
        </is>
      </c>
      <c r="N38" s="15" t="inlineStr">
        <is>
          <t>—</t>
        </is>
      </c>
      <c r="O38" s="15" t="inlineStr">
        <is>
          <t>—</t>
        </is>
      </c>
      <c r="P38" s="15" t="inlineStr">
        <is>
          <t>—</t>
        </is>
      </c>
      <c r="Q38" s="15" t="inlineStr">
        <is>
          <t>—</t>
        </is>
      </c>
      <c r="R38" s="15" t="inlineStr">
        <is>
          <t>—</t>
        </is>
      </c>
      <c r="S38" s="15" t="inlineStr">
        <is>
          <t>—</t>
        </is>
      </c>
      <c r="T38" s="15" t="inlineStr">
        <is>
          <t>—</t>
        </is>
      </c>
      <c r="U38" s="15" t="inlineStr">
        <is>
          <t>—</t>
        </is>
      </c>
      <c r="V38" s="15" t="inlineStr">
        <is>
          <t>—</t>
        </is>
      </c>
      <c r="W38" s="15" t="inlineStr">
        <is>
          <t>—</t>
        </is>
      </c>
      <c r="X38" s="11" t="inlineStr">
        <is>
          <t>重卡短途38%/中途50%/长途12%（JPM 续航分布）；城配高频30%/低频70%；私家价格带 8万下12.3%/8–15万40.4%/15万+47.3%（中汽协）</t>
        </is>
      </c>
    </row>
    <row r="39" ht="46" customHeight="1">
      <c r="B39" s="12" t="inlineStr">
        <is>
          <t>↳↳ 重卡·长途 场景权重</t>
        </is>
      </c>
      <c r="C39" s="12" t="inlineStr">
        <is>
          <t>scenes[].weight</t>
        </is>
      </c>
      <c r="D39" s="12" t="inlineStr"/>
      <c r="E39" s="12" t="inlineStr">
        <is>
          <t>%</t>
        </is>
      </c>
      <c r="F39" s="16" t="n">
        <v>0.12</v>
      </c>
      <c r="G39" s="16" t="n">
        <v>0.12</v>
      </c>
      <c r="H39" s="16" t="n">
        <v>0.12</v>
      </c>
      <c r="I39" s="15" t="inlineStr">
        <is>
          <t>—</t>
        </is>
      </c>
      <c r="J39" s="15" t="inlineStr">
        <is>
          <t>—</t>
        </is>
      </c>
      <c r="K39" s="15" t="inlineStr">
        <is>
          <t>—</t>
        </is>
      </c>
      <c r="L39" s="15" t="inlineStr">
        <is>
          <t>—</t>
        </is>
      </c>
      <c r="M39" s="15" t="inlineStr">
        <is>
          <t>—</t>
        </is>
      </c>
      <c r="N39" s="15" t="inlineStr">
        <is>
          <t>—</t>
        </is>
      </c>
      <c r="O39" s="15" t="inlineStr">
        <is>
          <t>—</t>
        </is>
      </c>
      <c r="P39" s="15" t="inlineStr">
        <is>
          <t>—</t>
        </is>
      </c>
      <c r="Q39" s="15" t="inlineStr">
        <is>
          <t>—</t>
        </is>
      </c>
      <c r="R39" s="15" t="inlineStr">
        <is>
          <t>—</t>
        </is>
      </c>
      <c r="S39" s="15" t="inlineStr">
        <is>
          <t>—</t>
        </is>
      </c>
      <c r="T39" s="15" t="inlineStr">
        <is>
          <t>—</t>
        </is>
      </c>
      <c r="U39" s="15" t="inlineStr">
        <is>
          <t>—</t>
        </is>
      </c>
      <c r="V39" s="15" t="inlineStr">
        <is>
          <t>—</t>
        </is>
      </c>
      <c r="W39" s="15" t="inlineStr">
        <is>
          <t>—</t>
        </is>
      </c>
      <c r="X39" s="11" t="inlineStr">
        <is>
          <t>重卡短途38%/中途50%/长途12%（JPM 续航分布）；城配高频30%/低频70%；私家价格带 8万下12.3%/8–15万40.4%/15万+47.3%（中汽协）</t>
        </is>
      </c>
    </row>
    <row r="40" ht="46" customHeight="1">
      <c r="B40" s="12" t="inlineStr">
        <is>
          <t>↳↳ 城配物流·高频 场景权重</t>
        </is>
      </c>
      <c r="C40" s="12" t="inlineStr">
        <is>
          <t>scenes[].weight</t>
        </is>
      </c>
      <c r="D40" s="12" t="inlineStr"/>
      <c r="E40" s="12" t="inlineStr">
        <is>
          <t>%</t>
        </is>
      </c>
      <c r="F40" s="15" t="inlineStr">
        <is>
          <t>—</t>
        </is>
      </c>
      <c r="G40" s="15" t="inlineStr">
        <is>
          <t>—</t>
        </is>
      </c>
      <c r="H40" s="15" t="inlineStr">
        <is>
          <t>—</t>
        </is>
      </c>
      <c r="I40" s="16" t="n">
        <v>0.3</v>
      </c>
      <c r="J40" s="16" t="n">
        <v>0.3</v>
      </c>
      <c r="K40" s="16" t="n">
        <v>0.3</v>
      </c>
      <c r="L40" s="15" t="inlineStr">
        <is>
          <t>—</t>
        </is>
      </c>
      <c r="M40" s="15" t="inlineStr">
        <is>
          <t>—</t>
        </is>
      </c>
      <c r="N40" s="15" t="inlineStr">
        <is>
          <t>—</t>
        </is>
      </c>
      <c r="O40" s="15" t="inlineStr">
        <is>
          <t>—</t>
        </is>
      </c>
      <c r="P40" s="15" t="inlineStr">
        <is>
          <t>—</t>
        </is>
      </c>
      <c r="Q40" s="15" t="inlineStr">
        <is>
          <t>—</t>
        </is>
      </c>
      <c r="R40" s="15" t="inlineStr">
        <is>
          <t>—</t>
        </is>
      </c>
      <c r="S40" s="15" t="inlineStr">
        <is>
          <t>—</t>
        </is>
      </c>
      <c r="T40" s="15" t="inlineStr">
        <is>
          <t>—</t>
        </is>
      </c>
      <c r="U40" s="15" t="inlineStr">
        <is>
          <t>—</t>
        </is>
      </c>
      <c r="V40" s="15" t="inlineStr">
        <is>
          <t>—</t>
        </is>
      </c>
      <c r="W40" s="15" t="inlineStr">
        <is>
          <t>—</t>
        </is>
      </c>
      <c r="X40" s="11" t="inlineStr">
        <is>
          <t>重卡短途38%/中途50%/长途12%（JPM 续航分布）；城配高频30%/低频70%；私家价格带 8万下12.3%/8–15万40.4%/15万+47.3%（中汽协）</t>
        </is>
      </c>
    </row>
    <row r="41" ht="46" customHeight="1">
      <c r="B41" s="12" t="inlineStr">
        <is>
          <t>↳↳ 城配物流·低频 场景权重</t>
        </is>
      </c>
      <c r="C41" s="12" t="inlineStr">
        <is>
          <t>scenes[].weight</t>
        </is>
      </c>
      <c r="D41" s="12" t="inlineStr"/>
      <c r="E41" s="12" t="inlineStr">
        <is>
          <t>%</t>
        </is>
      </c>
      <c r="F41" s="15" t="inlineStr">
        <is>
          <t>—</t>
        </is>
      </c>
      <c r="G41" s="15" t="inlineStr">
        <is>
          <t>—</t>
        </is>
      </c>
      <c r="H41" s="15" t="inlineStr">
        <is>
          <t>—</t>
        </is>
      </c>
      <c r="I41" s="16" t="n">
        <v>0.7</v>
      </c>
      <c r="J41" s="16" t="n">
        <v>0.7</v>
      </c>
      <c r="K41" s="16" t="n">
        <v>0.7</v>
      </c>
      <c r="L41" s="15" t="inlineStr">
        <is>
          <t>—</t>
        </is>
      </c>
      <c r="M41" s="15" t="inlineStr">
        <is>
          <t>—</t>
        </is>
      </c>
      <c r="N41" s="15" t="inlineStr">
        <is>
          <t>—</t>
        </is>
      </c>
      <c r="O41" s="15" t="inlineStr">
        <is>
          <t>—</t>
        </is>
      </c>
      <c r="P41" s="15" t="inlineStr">
        <is>
          <t>—</t>
        </is>
      </c>
      <c r="Q41" s="15" t="inlineStr">
        <is>
          <t>—</t>
        </is>
      </c>
      <c r="R41" s="15" t="inlineStr">
        <is>
          <t>—</t>
        </is>
      </c>
      <c r="S41" s="15" t="inlineStr">
        <is>
          <t>—</t>
        </is>
      </c>
      <c r="T41" s="15" t="inlineStr">
        <is>
          <t>—</t>
        </is>
      </c>
      <c r="U41" s="15" t="inlineStr">
        <is>
          <t>—</t>
        </is>
      </c>
      <c r="V41" s="15" t="inlineStr">
        <is>
          <t>—</t>
        </is>
      </c>
      <c r="W41" s="15" t="inlineStr">
        <is>
          <t>—</t>
        </is>
      </c>
      <c r="X41" s="11" t="inlineStr">
        <is>
          <t>重卡短途38%/中途50%/长途12%（JPM 续航分布）；城配高频30%/低频70%；私家价格带 8万下12.3%/8–15万40.4%/15万+47.3%（中汽协）</t>
        </is>
      </c>
    </row>
    <row r="42" ht="46" customHeight="1">
      <c r="B42" s="12" t="inlineStr">
        <is>
          <t>↳↳ 出租车·出租车 场景权重</t>
        </is>
      </c>
      <c r="C42" s="12" t="inlineStr">
        <is>
          <t>scenes[].weight</t>
        </is>
      </c>
      <c r="D42" s="12" t="inlineStr"/>
      <c r="E42" s="12" t="inlineStr">
        <is>
          <t>%</t>
        </is>
      </c>
      <c r="F42" s="15" t="inlineStr">
        <is>
          <t>—</t>
        </is>
      </c>
      <c r="G42" s="15" t="inlineStr">
        <is>
          <t>—</t>
        </is>
      </c>
      <c r="H42" s="15" t="inlineStr">
        <is>
          <t>—</t>
        </is>
      </c>
      <c r="I42" s="15" t="inlineStr">
        <is>
          <t>—</t>
        </is>
      </c>
      <c r="J42" s="15" t="inlineStr">
        <is>
          <t>—</t>
        </is>
      </c>
      <c r="K42" s="15" t="inlineStr">
        <is>
          <t>—</t>
        </is>
      </c>
      <c r="L42" s="15" t="inlineStr">
        <is>
          <t>—</t>
        </is>
      </c>
      <c r="M42" s="15" t="inlineStr">
        <is>
          <t>—</t>
        </is>
      </c>
      <c r="N42" s="15" t="inlineStr">
        <is>
          <t>—</t>
        </is>
      </c>
      <c r="O42" s="15" t="inlineStr">
        <is>
          <t>—</t>
        </is>
      </c>
      <c r="P42" s="15" t="inlineStr">
        <is>
          <t>—</t>
        </is>
      </c>
      <c r="Q42" s="15" t="inlineStr">
        <is>
          <t>—</t>
        </is>
      </c>
      <c r="R42" s="15" t="inlineStr">
        <is>
          <t>—</t>
        </is>
      </c>
      <c r="S42" s="15" t="inlineStr">
        <is>
          <t>—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—</t>
        </is>
      </c>
      <c r="W42" s="15" t="inlineStr">
        <is>
          <t>—</t>
        </is>
      </c>
      <c r="X42" s="11" t="inlineStr">
        <is>
          <t>重卡短途38%/中途50%/长途12%（JPM 续航分布）；城配高频30%/低频70%；私家价格带 8万下12.3%/8–15万40.4%/15万+47.3%（中汽协）</t>
        </is>
      </c>
    </row>
    <row r="43" ht="46" customHeight="1">
      <c r="B43" s="12" t="inlineStr">
        <is>
          <t>↳↳ 网约车·网约车 场景权重</t>
        </is>
      </c>
      <c r="C43" s="12" t="inlineStr">
        <is>
          <t>scenes[].weight</t>
        </is>
      </c>
      <c r="D43" s="12" t="inlineStr"/>
      <c r="E43" s="12" t="inlineStr">
        <is>
          <t>%</t>
        </is>
      </c>
      <c r="F43" s="15" t="inlineStr">
        <is>
          <t>—</t>
        </is>
      </c>
      <c r="G43" s="15" t="inlineStr">
        <is>
          <t>—</t>
        </is>
      </c>
      <c r="H43" s="15" t="inlineStr">
        <is>
          <t>—</t>
        </is>
      </c>
      <c r="I43" s="15" t="inlineStr">
        <is>
          <t>—</t>
        </is>
      </c>
      <c r="J43" s="15" t="inlineStr">
        <is>
          <t>—</t>
        </is>
      </c>
      <c r="K43" s="15" t="inlineStr">
        <is>
          <t>—</t>
        </is>
      </c>
      <c r="L43" s="15" t="inlineStr">
        <is>
          <t>—</t>
        </is>
      </c>
      <c r="M43" s="15" t="inlineStr">
        <is>
          <t>—</t>
        </is>
      </c>
      <c r="N43" s="15" t="inlineStr">
        <is>
          <t>—</t>
        </is>
      </c>
      <c r="O43" s="15" t="inlineStr">
        <is>
          <t>—</t>
        </is>
      </c>
      <c r="P43" s="15" t="inlineStr">
        <is>
          <t>—</t>
        </is>
      </c>
      <c r="Q43" s="15" t="inlineStr">
        <is>
          <t>—</t>
        </is>
      </c>
      <c r="R43" s="15" t="inlineStr">
        <is>
          <t>—</t>
        </is>
      </c>
      <c r="S43" s="15" t="inlineStr">
        <is>
          <t>—</t>
        </is>
      </c>
      <c r="T43" s="15" t="inlineStr">
        <is>
          <t>—</t>
        </is>
      </c>
      <c r="U43" s="15" t="inlineStr">
        <is>
          <t>—</t>
        </is>
      </c>
      <c r="V43" s="15" t="inlineStr">
        <is>
          <t>—</t>
        </is>
      </c>
      <c r="W43" s="15" t="inlineStr">
        <is>
          <t>—</t>
        </is>
      </c>
      <c r="X43" s="11" t="inlineStr">
        <is>
          <t>重卡短途38%/中途50%/长途12%（JPM 续航分布）；城配高频30%/低频70%；私家价格带 8万下12.3%/8–15万40.4%/15万+47.3%（中汽协）</t>
        </is>
      </c>
    </row>
    <row r="44" ht="46" customHeight="1">
      <c r="B44" s="12" t="inlineStr">
        <is>
          <t>↳↳ Robotaxi·Robotaxi 场景权重</t>
        </is>
      </c>
      <c r="C44" s="12" t="inlineStr">
        <is>
          <t>scenes[].weight</t>
        </is>
      </c>
      <c r="D44" s="12" t="inlineStr"/>
      <c r="E44" s="12" t="inlineStr">
        <is>
          <t>%</t>
        </is>
      </c>
      <c r="F44" s="15" t="inlineStr">
        <is>
          <t>—</t>
        </is>
      </c>
      <c r="G44" s="15" t="inlineStr">
        <is>
          <t>—</t>
        </is>
      </c>
      <c r="H44" s="15" t="inlineStr">
        <is>
          <t>—</t>
        </is>
      </c>
      <c r="I44" s="15" t="inlineStr">
        <is>
          <t>—</t>
        </is>
      </c>
      <c r="J44" s="15" t="inlineStr">
        <is>
          <t>—</t>
        </is>
      </c>
      <c r="K44" s="15" t="inlineStr">
        <is>
          <t>—</t>
        </is>
      </c>
      <c r="L44" s="15" t="inlineStr">
        <is>
          <t>—</t>
        </is>
      </c>
      <c r="M44" s="15" t="inlineStr">
        <is>
          <t>—</t>
        </is>
      </c>
      <c r="N44" s="15" t="inlineStr">
        <is>
          <t>—</t>
        </is>
      </c>
      <c r="O44" s="15" t="inlineStr">
        <is>
          <t>—</t>
        </is>
      </c>
      <c r="P44" s="15" t="inlineStr">
        <is>
          <t>—</t>
        </is>
      </c>
      <c r="Q44" s="15" t="inlineStr">
        <is>
          <t>—</t>
        </is>
      </c>
      <c r="R44" s="15" t="inlineStr">
        <is>
          <t>—</t>
        </is>
      </c>
      <c r="S44" s="15" t="inlineStr">
        <is>
          <t>—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—</t>
        </is>
      </c>
      <c r="W44" s="15" t="inlineStr">
        <is>
          <t>—</t>
        </is>
      </c>
      <c r="X44" s="11" t="inlineStr">
        <is>
          <t>重卡短途38%/中途50%/长途12%（JPM 续航分布）；城配高频30%/低频70%；私家价格带 8万下12.3%/8–15万40.4%/15万+47.3%（中汽协）</t>
        </is>
      </c>
    </row>
    <row r="45" ht="46" customHeight="1">
      <c r="B45" s="12" t="inlineStr">
        <is>
          <t>↳↳ 私家车·8万元以下 场景权重</t>
        </is>
      </c>
      <c r="C45" s="12" t="inlineStr">
        <is>
          <t>scenes[].weight</t>
        </is>
      </c>
      <c r="D45" s="12" t="inlineStr"/>
      <c r="E45" s="12" t="inlineStr">
        <is>
          <t>%</t>
        </is>
      </c>
      <c r="F45" s="15" t="inlineStr">
        <is>
          <t>—</t>
        </is>
      </c>
      <c r="G45" s="15" t="inlineStr">
        <is>
          <t>—</t>
        </is>
      </c>
      <c r="H45" s="15" t="inlineStr">
        <is>
          <t>—</t>
        </is>
      </c>
      <c r="I45" s="15" t="inlineStr">
        <is>
          <t>—</t>
        </is>
      </c>
      <c r="J45" s="15" t="inlineStr">
        <is>
          <t>—</t>
        </is>
      </c>
      <c r="K45" s="15" t="inlineStr">
        <is>
          <t>—</t>
        </is>
      </c>
      <c r="L45" s="15" t="inlineStr">
        <is>
          <t>—</t>
        </is>
      </c>
      <c r="M45" s="15" t="inlineStr">
        <is>
          <t>—</t>
        </is>
      </c>
      <c r="N45" s="15" t="inlineStr">
        <is>
          <t>—</t>
        </is>
      </c>
      <c r="O45" s="15" t="inlineStr">
        <is>
          <t>—</t>
        </is>
      </c>
      <c r="P45" s="15" t="inlineStr">
        <is>
          <t>—</t>
        </is>
      </c>
      <c r="Q45" s="15" t="inlineStr">
        <is>
          <t>—</t>
        </is>
      </c>
      <c r="R45" s="16" t="n">
        <v>0.123</v>
      </c>
      <c r="S45" s="16" t="n">
        <v>0.123</v>
      </c>
      <c r="T45" s="16" t="n">
        <v>0.123</v>
      </c>
      <c r="U45" s="15" t="inlineStr">
        <is>
          <t>—</t>
        </is>
      </c>
      <c r="V45" s="15" t="inlineStr">
        <is>
          <t>—</t>
        </is>
      </c>
      <c r="W45" s="15" t="inlineStr">
        <is>
          <t>—</t>
        </is>
      </c>
      <c r="X45" s="11" t="inlineStr">
        <is>
          <t>重卡短途38%/中途50%/长途12%（JPM 续航分布）；城配高频30%/低频70%；私家价格带 8万下12.3%/8–15万40.4%/15万+47.3%（中汽协）</t>
        </is>
      </c>
    </row>
    <row r="46" ht="46" customHeight="1">
      <c r="B46" s="12" t="inlineStr">
        <is>
          <t>↳↳ 私家车·8至15万元 场景权重</t>
        </is>
      </c>
      <c r="C46" s="12" t="inlineStr">
        <is>
          <t>scenes[].weight</t>
        </is>
      </c>
      <c r="D46" s="12" t="inlineStr"/>
      <c r="E46" s="12" t="inlineStr">
        <is>
          <t>%</t>
        </is>
      </c>
      <c r="F46" s="15" t="inlineStr">
        <is>
          <t>—</t>
        </is>
      </c>
      <c r="G46" s="15" t="inlineStr">
        <is>
          <t>—</t>
        </is>
      </c>
      <c r="H46" s="15" t="inlineStr">
        <is>
          <t>—</t>
        </is>
      </c>
      <c r="I46" s="15" t="inlineStr">
        <is>
          <t>—</t>
        </is>
      </c>
      <c r="J46" s="15" t="inlineStr">
        <is>
          <t>—</t>
        </is>
      </c>
      <c r="K46" s="15" t="inlineStr">
        <is>
          <t>—</t>
        </is>
      </c>
      <c r="L46" s="15" t="inlineStr">
        <is>
          <t>—</t>
        </is>
      </c>
      <c r="M46" s="15" t="inlineStr">
        <is>
          <t>—</t>
        </is>
      </c>
      <c r="N46" s="15" t="inlineStr">
        <is>
          <t>—</t>
        </is>
      </c>
      <c r="O46" s="15" t="inlineStr">
        <is>
          <t>—</t>
        </is>
      </c>
      <c r="P46" s="15" t="inlineStr">
        <is>
          <t>—</t>
        </is>
      </c>
      <c r="Q46" s="15" t="inlineStr">
        <is>
          <t>—</t>
        </is>
      </c>
      <c r="R46" s="16" t="n">
        <v>0.404</v>
      </c>
      <c r="S46" s="16" t="n">
        <v>0.404</v>
      </c>
      <c r="T46" s="16" t="n">
        <v>0.404</v>
      </c>
      <c r="U46" s="15" t="inlineStr">
        <is>
          <t>—</t>
        </is>
      </c>
      <c r="V46" s="15" t="inlineStr">
        <is>
          <t>—</t>
        </is>
      </c>
      <c r="W46" s="15" t="inlineStr">
        <is>
          <t>—</t>
        </is>
      </c>
      <c r="X46" s="11" t="inlineStr">
        <is>
          <t>重卡短途38%/中途50%/长途12%（JPM 续航分布）；城配高频30%/低频70%；私家价格带 8万下12.3%/8–15万40.4%/15万+47.3%（中汽协）</t>
        </is>
      </c>
    </row>
    <row r="47" ht="46" customHeight="1">
      <c r="B47" s="12" t="inlineStr">
        <is>
          <t>↳↳ 私家车·15万元以上 场景权重</t>
        </is>
      </c>
      <c r="C47" s="12" t="inlineStr">
        <is>
          <t>scenes[].weight</t>
        </is>
      </c>
      <c r="D47" s="12" t="inlineStr"/>
      <c r="E47" s="12" t="inlineStr">
        <is>
          <t>%</t>
        </is>
      </c>
      <c r="F47" s="15" t="inlineStr">
        <is>
          <t>—</t>
        </is>
      </c>
      <c r="G47" s="15" t="inlineStr">
        <is>
          <t>—</t>
        </is>
      </c>
      <c r="H47" s="15" t="inlineStr">
        <is>
          <t>—</t>
        </is>
      </c>
      <c r="I47" s="15" t="inlineStr">
        <is>
          <t>—</t>
        </is>
      </c>
      <c r="J47" s="15" t="inlineStr">
        <is>
          <t>—</t>
        </is>
      </c>
      <c r="K47" s="15" t="inlineStr">
        <is>
          <t>—</t>
        </is>
      </c>
      <c r="L47" s="15" t="inlineStr">
        <is>
          <t>—</t>
        </is>
      </c>
      <c r="M47" s="15" t="inlineStr">
        <is>
          <t>—</t>
        </is>
      </c>
      <c r="N47" s="15" t="inlineStr">
        <is>
          <t>—</t>
        </is>
      </c>
      <c r="O47" s="15" t="inlineStr">
        <is>
          <t>—</t>
        </is>
      </c>
      <c r="P47" s="15" t="inlineStr">
        <is>
          <t>—</t>
        </is>
      </c>
      <c r="Q47" s="15" t="inlineStr">
        <is>
          <t>—</t>
        </is>
      </c>
      <c r="R47" s="16" t="n">
        <v>0.473</v>
      </c>
      <c r="S47" s="16" t="n">
        <v>0.473</v>
      </c>
      <c r="T47" s="16" t="n">
        <v>0.473</v>
      </c>
      <c r="U47" s="15" t="inlineStr">
        <is>
          <t>—</t>
        </is>
      </c>
      <c r="V47" s="15" t="inlineStr">
        <is>
          <t>—</t>
        </is>
      </c>
      <c r="W47" s="15" t="inlineStr">
        <is>
          <t>—</t>
        </is>
      </c>
      <c r="X47" s="11" t="inlineStr">
        <is>
          <t>重卡短途38%/中途50%/长途12%（JPM 续航分布）；城配高频30%/低频70%；私家价格带 8万下12.3%/8–15万40.4%/15万+47.3%（中汽协）</t>
        </is>
      </c>
    </row>
    <row r="48" ht="46" customHeight="1">
      <c r="B48" s="12" t="inlineStr">
        <is>
          <t>↳ 换电渗透率（分场景）</t>
        </is>
      </c>
      <c r="C48" s="12" t="inlineStr">
        <is>
          <t>vehicles.{v}.scenes[s].swap_penetration｜ private: scenario_swap_penetration.{保守/中枢/激进}[价格带]</t>
        </is>
      </c>
      <c r="D48" s="12" t="inlineStr">
        <is>
          <t>＝ 分场景换电渗透（见下钻逐场景）；× 场景电动新增 → 市场换电车辆（再×CATL份额→进宁德）</t>
        </is>
      </c>
      <c r="E48" s="12" t="inlineStr">
        <is>
          <t>%</t>
        </is>
      </c>
      <c r="F48" s="15" t="inlineStr">
        <is>
          <t>—</t>
        </is>
      </c>
      <c r="G48" s="15" t="inlineStr">
        <is>
          <t>—</t>
        </is>
      </c>
      <c r="H48" s="15" t="inlineStr">
        <is>
          <t>—</t>
        </is>
      </c>
      <c r="I48" s="15" t="inlineStr">
        <is>
          <t>—</t>
        </is>
      </c>
      <c r="J48" s="15" t="inlineStr">
        <is>
          <t>—</t>
        </is>
      </c>
      <c r="K48" s="15" t="inlineStr">
        <is>
          <t>—</t>
        </is>
      </c>
      <c r="L48" s="15" t="inlineStr">
        <is>
          <t>—</t>
        </is>
      </c>
      <c r="M48" s="15" t="inlineStr">
        <is>
          <t>—</t>
        </is>
      </c>
      <c r="N48" s="15" t="inlineStr">
        <is>
          <t>—</t>
        </is>
      </c>
      <c r="O48" s="15" t="inlineStr">
        <is>
          <t>—</t>
        </is>
      </c>
      <c r="P48" s="15" t="inlineStr">
        <is>
          <t>—</t>
        </is>
      </c>
      <c r="Q48" s="15" t="inlineStr">
        <is>
          <t>—</t>
        </is>
      </c>
      <c r="R48" s="15" t="inlineStr">
        <is>
          <t>—</t>
        </is>
      </c>
      <c r="S48" s="15" t="inlineStr">
        <is>
          <t>—</t>
        </is>
      </c>
      <c r="T48" s="15" t="inlineStr">
        <is>
          <t>—</t>
        </is>
      </c>
      <c r="U48" s="15" t="inlineStr">
        <is>
          <t>—</t>
        </is>
      </c>
      <c r="V48" s="15" t="inlineStr">
        <is>
          <t>—</t>
        </is>
      </c>
      <c r="W48" s="15" t="inlineStr">
        <is>
          <t>—</t>
        </is>
      </c>
      <c r="X48" s="11" t="inlineStr">
        <is>
          <t>重卡分场景 30/50/70%（JPM 续航分布 + 极兔 5000 台订单实证）；城配高频 50%；出租/网约 50%；Robotaxi 100%；私家分档</t>
        </is>
      </c>
    </row>
    <row r="49" ht="46" customHeight="1">
      <c r="B49" s="12" t="inlineStr">
        <is>
          <t>↳↳ 重卡·短途 换电渗透率</t>
        </is>
      </c>
      <c r="C49" s="12" t="inlineStr">
        <is>
          <t>scenes[].swap_penetration</t>
        </is>
      </c>
      <c r="D49" s="12" t="inlineStr"/>
      <c r="E49" s="12" t="inlineStr">
        <is>
          <t>%</t>
        </is>
      </c>
      <c r="F49" s="16" t="n">
        <v>0.3</v>
      </c>
      <c r="G49" s="16" t="n">
        <v>0.3</v>
      </c>
      <c r="H49" s="16" t="n">
        <v>0.3</v>
      </c>
      <c r="I49" s="15" t="inlineStr">
        <is>
          <t>—</t>
        </is>
      </c>
      <c r="J49" s="15" t="inlineStr">
        <is>
          <t>—</t>
        </is>
      </c>
      <c r="K49" s="15" t="inlineStr">
        <is>
          <t>—</t>
        </is>
      </c>
      <c r="L49" s="15" t="inlineStr">
        <is>
          <t>—</t>
        </is>
      </c>
      <c r="M49" s="15" t="inlineStr">
        <is>
          <t>—</t>
        </is>
      </c>
      <c r="N49" s="15" t="inlineStr">
        <is>
          <t>—</t>
        </is>
      </c>
      <c r="O49" s="15" t="inlineStr">
        <is>
          <t>—</t>
        </is>
      </c>
      <c r="P49" s="15" t="inlineStr">
        <is>
          <t>—</t>
        </is>
      </c>
      <c r="Q49" s="15" t="inlineStr">
        <is>
          <t>—</t>
        </is>
      </c>
      <c r="R49" s="15" t="inlineStr">
        <is>
          <t>—</t>
        </is>
      </c>
      <c r="S49" s="15" t="inlineStr">
        <is>
          <t>—</t>
        </is>
      </c>
      <c r="T49" s="15" t="inlineStr">
        <is>
          <t>—</t>
        </is>
      </c>
      <c r="U49" s="15" t="inlineStr">
        <is>
          <t>—</t>
        </is>
      </c>
      <c r="V49" s="15" t="inlineStr">
        <is>
          <t>—</t>
        </is>
      </c>
      <c r="W49" s="15" t="inlineStr">
        <is>
          <t>—</t>
        </is>
      </c>
      <c r="X49" s="11" t="inlineStr">
        <is>
          <t>重卡分场景 30/50/70%（JPM 续航分布 + 极兔 5000 台订单实证）；城配高频 50%；出租/网约 50%；Robotaxi 100%；私家分档</t>
        </is>
      </c>
    </row>
    <row r="50" ht="46" customHeight="1">
      <c r="B50" s="12" t="inlineStr">
        <is>
          <t>↳↳ 重卡·中途 换电渗透率</t>
        </is>
      </c>
      <c r="C50" s="12" t="inlineStr">
        <is>
          <t>scenes[].swap_penetration</t>
        </is>
      </c>
      <c r="D50" s="12" t="inlineStr"/>
      <c r="E50" s="12" t="inlineStr">
        <is>
          <t>%</t>
        </is>
      </c>
      <c r="F50" s="16" t="n">
        <v>0.5</v>
      </c>
      <c r="G50" s="16" t="n">
        <v>0.5</v>
      </c>
      <c r="H50" s="16" t="n">
        <v>0.5</v>
      </c>
      <c r="I50" s="15" t="inlineStr">
        <is>
          <t>—</t>
        </is>
      </c>
      <c r="J50" s="15" t="inlineStr">
        <is>
          <t>—</t>
        </is>
      </c>
      <c r="K50" s="15" t="inlineStr">
        <is>
          <t>—</t>
        </is>
      </c>
      <c r="L50" s="15" t="inlineStr">
        <is>
          <t>—</t>
        </is>
      </c>
      <c r="M50" s="15" t="inlineStr">
        <is>
          <t>—</t>
        </is>
      </c>
      <c r="N50" s="15" t="inlineStr">
        <is>
          <t>—</t>
        </is>
      </c>
      <c r="O50" s="15" t="inlineStr">
        <is>
          <t>—</t>
        </is>
      </c>
      <c r="P50" s="15" t="inlineStr">
        <is>
          <t>—</t>
        </is>
      </c>
      <c r="Q50" s="15" t="inlineStr">
        <is>
          <t>—</t>
        </is>
      </c>
      <c r="R50" s="15" t="inlineStr">
        <is>
          <t>—</t>
        </is>
      </c>
      <c r="S50" s="15" t="inlineStr">
        <is>
          <t>—</t>
        </is>
      </c>
      <c r="T50" s="15" t="inlineStr">
        <is>
          <t>—</t>
        </is>
      </c>
      <c r="U50" s="15" t="inlineStr">
        <is>
          <t>—</t>
        </is>
      </c>
      <c r="V50" s="15" t="inlineStr">
        <is>
          <t>—</t>
        </is>
      </c>
      <c r="W50" s="15" t="inlineStr">
        <is>
          <t>—</t>
        </is>
      </c>
      <c r="X50" s="11" t="inlineStr">
        <is>
          <t>重卡分场景 30/50/70%（JPM 续航分布 + 极兔 5000 台订单实证）；城配高频 50%；出租/网约 50%；Robotaxi 100%；私家分档</t>
        </is>
      </c>
    </row>
    <row r="51" ht="46" customHeight="1">
      <c r="B51" s="12" t="inlineStr">
        <is>
          <t>↳↳ 重卡·长途 换电渗透率</t>
        </is>
      </c>
      <c r="C51" s="12" t="inlineStr">
        <is>
          <t>scenes[].swap_penetration</t>
        </is>
      </c>
      <c r="D51" s="12" t="inlineStr"/>
      <c r="E51" s="12" t="inlineStr">
        <is>
          <t>%</t>
        </is>
      </c>
      <c r="F51" s="16" t="n">
        <v>0.7</v>
      </c>
      <c r="G51" s="16" t="n">
        <v>0.7</v>
      </c>
      <c r="H51" s="16" t="n">
        <v>0.7</v>
      </c>
      <c r="I51" s="15" t="inlineStr">
        <is>
          <t>—</t>
        </is>
      </c>
      <c r="J51" s="15" t="inlineStr">
        <is>
          <t>—</t>
        </is>
      </c>
      <c r="K51" s="15" t="inlineStr">
        <is>
          <t>—</t>
        </is>
      </c>
      <c r="L51" s="15" t="inlineStr">
        <is>
          <t>—</t>
        </is>
      </c>
      <c r="M51" s="15" t="inlineStr">
        <is>
          <t>—</t>
        </is>
      </c>
      <c r="N51" s="15" t="inlineStr">
        <is>
          <t>—</t>
        </is>
      </c>
      <c r="O51" s="15" t="inlineStr">
        <is>
          <t>—</t>
        </is>
      </c>
      <c r="P51" s="15" t="inlineStr">
        <is>
          <t>—</t>
        </is>
      </c>
      <c r="Q51" s="15" t="inlineStr">
        <is>
          <t>—</t>
        </is>
      </c>
      <c r="R51" s="15" t="inlineStr">
        <is>
          <t>—</t>
        </is>
      </c>
      <c r="S51" s="15" t="inlineStr">
        <is>
          <t>—</t>
        </is>
      </c>
      <c r="T51" s="15" t="inlineStr">
        <is>
          <t>—</t>
        </is>
      </c>
      <c r="U51" s="15" t="inlineStr">
        <is>
          <t>—</t>
        </is>
      </c>
      <c r="V51" s="15" t="inlineStr">
        <is>
          <t>—</t>
        </is>
      </c>
      <c r="W51" s="15" t="inlineStr">
        <is>
          <t>—</t>
        </is>
      </c>
      <c r="X51" s="11" t="inlineStr">
        <is>
          <t>重卡分场景 30/50/70%（JPM 续航分布 + 极兔 5000 台订单实证）；城配高频 50%；出租/网约 50%；Robotaxi 100%；私家分档</t>
        </is>
      </c>
    </row>
    <row r="52" ht="46" customHeight="1">
      <c r="B52" s="12" t="inlineStr">
        <is>
          <t>↳↳ 城配物流·高频 换电渗透率</t>
        </is>
      </c>
      <c r="C52" s="12" t="inlineStr">
        <is>
          <t>scenes[].swap_penetration</t>
        </is>
      </c>
      <c r="D52" s="12" t="inlineStr"/>
      <c r="E52" s="12" t="inlineStr">
        <is>
          <t>%</t>
        </is>
      </c>
      <c r="F52" s="15" t="inlineStr">
        <is>
          <t>—</t>
        </is>
      </c>
      <c r="G52" s="15" t="inlineStr">
        <is>
          <t>—</t>
        </is>
      </c>
      <c r="H52" s="15" t="inlineStr">
        <is>
          <t>—</t>
        </is>
      </c>
      <c r="I52" s="16" t="n">
        <v>0.5</v>
      </c>
      <c r="J52" s="16" t="n">
        <v>0.5</v>
      </c>
      <c r="K52" s="16" t="n">
        <v>0.5</v>
      </c>
      <c r="L52" s="15" t="inlineStr">
        <is>
          <t>—</t>
        </is>
      </c>
      <c r="M52" s="15" t="inlineStr">
        <is>
          <t>—</t>
        </is>
      </c>
      <c r="N52" s="15" t="inlineStr">
        <is>
          <t>—</t>
        </is>
      </c>
      <c r="O52" s="15" t="inlineStr">
        <is>
          <t>—</t>
        </is>
      </c>
      <c r="P52" s="15" t="inlineStr">
        <is>
          <t>—</t>
        </is>
      </c>
      <c r="Q52" s="15" t="inlineStr">
        <is>
          <t>—</t>
        </is>
      </c>
      <c r="R52" s="15" t="inlineStr">
        <is>
          <t>—</t>
        </is>
      </c>
      <c r="S52" s="15" t="inlineStr">
        <is>
          <t>—</t>
        </is>
      </c>
      <c r="T52" s="15" t="inlineStr">
        <is>
          <t>—</t>
        </is>
      </c>
      <c r="U52" s="15" t="inlineStr">
        <is>
          <t>—</t>
        </is>
      </c>
      <c r="V52" s="15" t="inlineStr">
        <is>
          <t>—</t>
        </is>
      </c>
      <c r="W52" s="15" t="inlineStr">
        <is>
          <t>—</t>
        </is>
      </c>
      <c r="X52" s="11" t="inlineStr">
        <is>
          <t>重卡分场景 30/50/70%（JPM 续航分布 + 极兔 5000 台订单实证）；城配高频 50%；出租/网约 50%；Robotaxi 100%；私家分档</t>
        </is>
      </c>
    </row>
    <row r="53" ht="46" customHeight="1">
      <c r="B53" s="12" t="inlineStr">
        <is>
          <t>↳↳ 城配物流·低频 换电渗透率</t>
        </is>
      </c>
      <c r="C53" s="12" t="inlineStr">
        <is>
          <t>scenes[].swap_penetration</t>
        </is>
      </c>
      <c r="D53" s="12" t="inlineStr"/>
      <c r="E53" s="12" t="inlineStr">
        <is>
          <t>%</t>
        </is>
      </c>
      <c r="F53" s="15" t="inlineStr">
        <is>
          <t>—</t>
        </is>
      </c>
      <c r="G53" s="15" t="inlineStr">
        <is>
          <t>—</t>
        </is>
      </c>
      <c r="H53" s="15" t="inlineStr">
        <is>
          <t>—</t>
        </is>
      </c>
      <c r="I53" s="16" t="n">
        <v>0</v>
      </c>
      <c r="J53" s="16" t="n">
        <v>0</v>
      </c>
      <c r="K53" s="16" t="n">
        <v>0</v>
      </c>
      <c r="L53" s="15" t="inlineStr">
        <is>
          <t>—</t>
        </is>
      </c>
      <c r="M53" s="15" t="inlineStr">
        <is>
          <t>—</t>
        </is>
      </c>
      <c r="N53" s="15" t="inlineStr">
        <is>
          <t>—</t>
        </is>
      </c>
      <c r="O53" s="15" t="inlineStr">
        <is>
          <t>—</t>
        </is>
      </c>
      <c r="P53" s="15" t="inlineStr">
        <is>
          <t>—</t>
        </is>
      </c>
      <c r="Q53" s="15" t="inlineStr">
        <is>
          <t>—</t>
        </is>
      </c>
      <c r="R53" s="15" t="inlineStr">
        <is>
          <t>—</t>
        </is>
      </c>
      <c r="S53" s="15" t="inlineStr">
        <is>
          <t>—</t>
        </is>
      </c>
      <c r="T53" s="15" t="inlineStr">
        <is>
          <t>—</t>
        </is>
      </c>
      <c r="U53" s="15" t="inlineStr">
        <is>
          <t>—</t>
        </is>
      </c>
      <c r="V53" s="15" t="inlineStr">
        <is>
          <t>—</t>
        </is>
      </c>
      <c r="W53" s="15" t="inlineStr">
        <is>
          <t>—</t>
        </is>
      </c>
      <c r="X53" s="11" t="inlineStr">
        <is>
          <t>重卡分场景 30/50/70%（JPM 续航分布 + 极兔 5000 台订单实证）；城配高频 50%；出租/网约 50%；Robotaxi 100%；私家分档</t>
        </is>
      </c>
    </row>
    <row r="54" ht="46" customHeight="1">
      <c r="B54" s="12" t="inlineStr">
        <is>
          <t>↳↳ 出租车·出租车 换电渗透率</t>
        </is>
      </c>
      <c r="C54" s="12" t="inlineStr">
        <is>
          <t>scenes[].swap_penetration</t>
        </is>
      </c>
      <c r="D54" s="12" t="inlineStr"/>
      <c r="E54" s="12" t="inlineStr">
        <is>
          <t>%</t>
        </is>
      </c>
      <c r="F54" s="15" t="inlineStr">
        <is>
          <t>—</t>
        </is>
      </c>
      <c r="G54" s="15" t="inlineStr">
        <is>
          <t>—</t>
        </is>
      </c>
      <c r="H54" s="15" t="inlineStr">
        <is>
          <t>—</t>
        </is>
      </c>
      <c r="I54" s="15" t="inlineStr">
        <is>
          <t>—</t>
        </is>
      </c>
      <c r="J54" s="15" t="inlineStr">
        <is>
          <t>—</t>
        </is>
      </c>
      <c r="K54" s="15" t="inlineStr">
        <is>
          <t>—</t>
        </is>
      </c>
      <c r="L54" s="15" t="inlineStr">
        <is>
          <t>—</t>
        </is>
      </c>
      <c r="M54" s="15" t="inlineStr">
        <is>
          <t>—</t>
        </is>
      </c>
      <c r="N54" s="15" t="inlineStr">
        <is>
          <t>—</t>
        </is>
      </c>
      <c r="O54" s="15" t="inlineStr">
        <is>
          <t>—</t>
        </is>
      </c>
      <c r="P54" s="15" t="inlineStr">
        <is>
          <t>—</t>
        </is>
      </c>
      <c r="Q54" s="15" t="inlineStr">
        <is>
          <t>—</t>
        </is>
      </c>
      <c r="R54" s="15" t="inlineStr">
        <is>
          <t>—</t>
        </is>
      </c>
      <c r="S54" s="15" t="inlineStr">
        <is>
          <t>—</t>
        </is>
      </c>
      <c r="T54" s="15" t="inlineStr">
        <is>
          <t>—</t>
        </is>
      </c>
      <c r="U54" s="15" t="inlineStr">
        <is>
          <t>—</t>
        </is>
      </c>
      <c r="V54" s="15" t="inlineStr">
        <is>
          <t>—</t>
        </is>
      </c>
      <c r="W54" s="15" t="inlineStr">
        <is>
          <t>—</t>
        </is>
      </c>
      <c r="X54" s="11" t="inlineStr">
        <is>
          <t>重卡分场景 30/50/70%（JPM 续航分布 + 极兔 5000 台订单实证）；城配高频 50%；出租/网约 50%；Robotaxi 100%；私家分档</t>
        </is>
      </c>
    </row>
    <row r="55" ht="46" customHeight="1">
      <c r="B55" s="12" t="inlineStr">
        <is>
          <t>↳↳ 网约车·网约车 换电渗透率</t>
        </is>
      </c>
      <c r="C55" s="12" t="inlineStr">
        <is>
          <t>scenes[].swap_penetration</t>
        </is>
      </c>
      <c r="D55" s="12" t="inlineStr"/>
      <c r="E55" s="12" t="inlineStr">
        <is>
          <t>%</t>
        </is>
      </c>
      <c r="F55" s="15" t="inlineStr">
        <is>
          <t>—</t>
        </is>
      </c>
      <c r="G55" s="15" t="inlineStr">
        <is>
          <t>—</t>
        </is>
      </c>
      <c r="H55" s="15" t="inlineStr">
        <is>
          <t>—</t>
        </is>
      </c>
      <c r="I55" s="15" t="inlineStr">
        <is>
          <t>—</t>
        </is>
      </c>
      <c r="J55" s="15" t="inlineStr">
        <is>
          <t>—</t>
        </is>
      </c>
      <c r="K55" s="15" t="inlineStr">
        <is>
          <t>—</t>
        </is>
      </c>
      <c r="L55" s="15" t="inlineStr">
        <is>
          <t>—</t>
        </is>
      </c>
      <c r="M55" s="15" t="inlineStr">
        <is>
          <t>—</t>
        </is>
      </c>
      <c r="N55" s="15" t="inlineStr">
        <is>
          <t>—</t>
        </is>
      </c>
      <c r="O55" s="15" t="inlineStr">
        <is>
          <t>—</t>
        </is>
      </c>
      <c r="P55" s="15" t="inlineStr">
        <is>
          <t>—</t>
        </is>
      </c>
      <c r="Q55" s="15" t="inlineStr">
        <is>
          <t>—</t>
        </is>
      </c>
      <c r="R55" s="15" t="inlineStr">
        <is>
          <t>—</t>
        </is>
      </c>
      <c r="S55" s="15" t="inlineStr">
        <is>
          <t>—</t>
        </is>
      </c>
      <c r="T55" s="15" t="inlineStr">
        <is>
          <t>—</t>
        </is>
      </c>
      <c r="U55" s="15" t="inlineStr">
        <is>
          <t>—</t>
        </is>
      </c>
      <c r="V55" s="15" t="inlineStr">
        <is>
          <t>—</t>
        </is>
      </c>
      <c r="W55" s="15" t="inlineStr">
        <is>
          <t>—</t>
        </is>
      </c>
      <c r="X55" s="11" t="inlineStr">
        <is>
          <t>重卡分场景 30/50/70%（JPM 续航分布 + 极兔 5000 台订单实证）；城配高频 50%；出租/网约 50%；Robotaxi 100%；私家分档</t>
        </is>
      </c>
    </row>
    <row r="56" ht="46" customHeight="1">
      <c r="B56" s="12" t="inlineStr">
        <is>
          <t>↳↳ Robotaxi·Robotaxi 换电渗透率</t>
        </is>
      </c>
      <c r="C56" s="12" t="inlineStr">
        <is>
          <t>scenes[].swap_penetration</t>
        </is>
      </c>
      <c r="D56" s="12" t="inlineStr"/>
      <c r="E56" s="12" t="inlineStr">
        <is>
          <t>%</t>
        </is>
      </c>
      <c r="F56" s="15" t="inlineStr">
        <is>
          <t>—</t>
        </is>
      </c>
      <c r="G56" s="15" t="inlineStr">
        <is>
          <t>—</t>
        </is>
      </c>
      <c r="H56" s="15" t="inlineStr">
        <is>
          <t>—</t>
        </is>
      </c>
      <c r="I56" s="15" t="inlineStr">
        <is>
          <t>—</t>
        </is>
      </c>
      <c r="J56" s="15" t="inlineStr">
        <is>
          <t>—</t>
        </is>
      </c>
      <c r="K56" s="15" t="inlineStr">
        <is>
          <t>—</t>
        </is>
      </c>
      <c r="L56" s="15" t="inlineStr">
        <is>
          <t>—</t>
        </is>
      </c>
      <c r="M56" s="15" t="inlineStr">
        <is>
          <t>—</t>
        </is>
      </c>
      <c r="N56" s="15" t="inlineStr">
        <is>
          <t>—</t>
        </is>
      </c>
      <c r="O56" s="15" t="inlineStr">
        <is>
          <t>—</t>
        </is>
      </c>
      <c r="P56" s="15" t="inlineStr">
        <is>
          <t>—</t>
        </is>
      </c>
      <c r="Q56" s="15" t="inlineStr">
        <is>
          <t>—</t>
        </is>
      </c>
      <c r="R56" s="15" t="inlineStr">
        <is>
          <t>—</t>
        </is>
      </c>
      <c r="S56" s="15" t="inlineStr">
        <is>
          <t>—</t>
        </is>
      </c>
      <c r="T56" s="15" t="inlineStr">
        <is>
          <t>—</t>
        </is>
      </c>
      <c r="U56" s="15" t="inlineStr">
        <is>
          <t>—</t>
        </is>
      </c>
      <c r="V56" s="15" t="inlineStr">
        <is>
          <t>—</t>
        </is>
      </c>
      <c r="W56" s="15" t="inlineStr">
        <is>
          <t>—</t>
        </is>
      </c>
      <c r="X56" s="11" t="inlineStr">
        <is>
          <t>重卡分场景 30/50/70%（JPM 续航分布 + 极兔 5000 台订单实证）；城配高频 50%；出租/网约 50%；Robotaxi 100%；私家分档</t>
        </is>
      </c>
    </row>
    <row r="57" ht="32" customHeight="1">
      <c r="B57" s="12" t="inlineStr">
        <is>
          <t>↳↳ 私家车·8万元以下 换电渗透率</t>
        </is>
      </c>
      <c r="C57" s="12" t="inlineStr">
        <is>
          <t>scenario_swap_penetration.{保守/中枢/激进}[{_band}]</t>
        </is>
      </c>
      <c r="D57" s="12" t="inlineStr"/>
      <c r="E57" s="12" t="inlineStr">
        <is>
          <t>%</t>
        </is>
      </c>
      <c r="F57" s="15" t="inlineStr">
        <is>
          <t>—</t>
        </is>
      </c>
      <c r="G57" s="15" t="inlineStr">
        <is>
          <t>—</t>
        </is>
      </c>
      <c r="H57" s="15" t="inlineStr">
        <is>
          <t>—</t>
        </is>
      </c>
      <c r="I57" s="15" t="inlineStr">
        <is>
          <t>—</t>
        </is>
      </c>
      <c r="J57" s="15" t="inlineStr">
        <is>
          <t>—</t>
        </is>
      </c>
      <c r="K57" s="15" t="inlineStr">
        <is>
          <t>—</t>
        </is>
      </c>
      <c r="L57" s="15" t="inlineStr">
        <is>
          <t>—</t>
        </is>
      </c>
      <c r="M57" s="15" t="inlineStr">
        <is>
          <t>—</t>
        </is>
      </c>
      <c r="N57" s="15" t="inlineStr">
        <is>
          <t>—</t>
        </is>
      </c>
      <c r="O57" s="15" t="inlineStr">
        <is>
          <t>—</t>
        </is>
      </c>
      <c r="P57" s="15" t="inlineStr">
        <is>
          <t>—</t>
        </is>
      </c>
      <c r="Q57" s="15" t="inlineStr">
        <is>
          <t>—</t>
        </is>
      </c>
      <c r="R57" s="16" t="n">
        <v>0</v>
      </c>
      <c r="S57" s="16" t="n">
        <v>0</v>
      </c>
      <c r="T57" s="16" t="n">
        <v>0.03</v>
      </c>
      <c r="U57" s="15" t="inlineStr">
        <is>
          <t>—</t>
        </is>
      </c>
      <c r="V57" s="15" t="inlineStr">
        <is>
          <t>—</t>
        </is>
      </c>
      <c r="W57" s="15" t="inlineStr">
        <is>
          <t>—</t>
        </is>
      </c>
      <c r="X57" s="14" t="inlineStr">
        <is>
          <t>中枢：8万下0 / 8–15万5% / 15万+3%（受 CTC/CTB 架构与蔚来竞争约束，分档假设）</t>
        </is>
      </c>
    </row>
    <row r="58" ht="32" customHeight="1">
      <c r="B58" s="12" t="inlineStr">
        <is>
          <t>↳↳ 私家车·8至15万元 换电渗透率</t>
        </is>
      </c>
      <c r="C58" s="12" t="inlineStr">
        <is>
          <t>scenario_swap_penetration.{保守/中枢/激进}[{_band}]</t>
        </is>
      </c>
      <c r="D58" s="12" t="inlineStr"/>
      <c r="E58" s="12" t="inlineStr">
        <is>
          <t>%</t>
        </is>
      </c>
      <c r="F58" s="15" t="inlineStr">
        <is>
          <t>—</t>
        </is>
      </c>
      <c r="G58" s="15" t="inlineStr">
        <is>
          <t>—</t>
        </is>
      </c>
      <c r="H58" s="15" t="inlineStr">
        <is>
          <t>—</t>
        </is>
      </c>
      <c r="I58" s="15" t="inlineStr">
        <is>
          <t>—</t>
        </is>
      </c>
      <c r="J58" s="15" t="inlineStr">
        <is>
          <t>—</t>
        </is>
      </c>
      <c r="K58" s="15" t="inlineStr">
        <is>
          <t>—</t>
        </is>
      </c>
      <c r="L58" s="15" t="inlineStr">
        <is>
          <t>—</t>
        </is>
      </c>
      <c r="M58" s="15" t="inlineStr">
        <is>
          <t>—</t>
        </is>
      </c>
      <c r="N58" s="15" t="inlineStr">
        <is>
          <t>—</t>
        </is>
      </c>
      <c r="O58" s="15" t="inlineStr">
        <is>
          <t>—</t>
        </is>
      </c>
      <c r="P58" s="15" t="inlineStr">
        <is>
          <t>—</t>
        </is>
      </c>
      <c r="Q58" s="15" t="inlineStr">
        <is>
          <t>—</t>
        </is>
      </c>
      <c r="R58" s="16" t="n">
        <v>0.03</v>
      </c>
      <c r="S58" s="16" t="n">
        <v>0.05</v>
      </c>
      <c r="T58" s="16" t="n">
        <v>0.08</v>
      </c>
      <c r="U58" s="15" t="inlineStr">
        <is>
          <t>—</t>
        </is>
      </c>
      <c r="V58" s="15" t="inlineStr">
        <is>
          <t>—</t>
        </is>
      </c>
      <c r="W58" s="15" t="inlineStr">
        <is>
          <t>—</t>
        </is>
      </c>
      <c r="X58" s="14" t="inlineStr">
        <is>
          <t>中枢：8万下0 / 8–15万5% / 15万+3%（受 CTC/CTB 架构与蔚来竞争约束，分档假设）</t>
        </is>
      </c>
    </row>
    <row r="59" ht="32" customHeight="1">
      <c r="B59" s="12" t="inlineStr">
        <is>
          <t>↳↳ 私家车·15万元以上 换电渗透率</t>
        </is>
      </c>
      <c r="C59" s="12" t="inlineStr">
        <is>
          <t>scenario_swap_penetration.{保守/中枢/激进}[{_band}]</t>
        </is>
      </c>
      <c r="D59" s="12" t="inlineStr"/>
      <c r="E59" s="12" t="inlineStr">
        <is>
          <t>%</t>
        </is>
      </c>
      <c r="F59" s="15" t="inlineStr">
        <is>
          <t>—</t>
        </is>
      </c>
      <c r="G59" s="15" t="inlineStr">
        <is>
          <t>—</t>
        </is>
      </c>
      <c r="H59" s="15" t="inlineStr">
        <is>
          <t>—</t>
        </is>
      </c>
      <c r="I59" s="15" t="inlineStr">
        <is>
          <t>—</t>
        </is>
      </c>
      <c r="J59" s="15" t="inlineStr">
        <is>
          <t>—</t>
        </is>
      </c>
      <c r="K59" s="15" t="inlineStr">
        <is>
          <t>—</t>
        </is>
      </c>
      <c r="L59" s="15" t="inlineStr">
        <is>
          <t>—</t>
        </is>
      </c>
      <c r="M59" s="15" t="inlineStr">
        <is>
          <t>—</t>
        </is>
      </c>
      <c r="N59" s="15" t="inlineStr">
        <is>
          <t>—</t>
        </is>
      </c>
      <c r="O59" s="15" t="inlineStr">
        <is>
          <t>—</t>
        </is>
      </c>
      <c r="P59" s="15" t="inlineStr">
        <is>
          <t>—</t>
        </is>
      </c>
      <c r="Q59" s="15" t="inlineStr">
        <is>
          <t>—</t>
        </is>
      </c>
      <c r="R59" s="16" t="n">
        <v>0</v>
      </c>
      <c r="S59" s="16" t="n">
        <v>0.03</v>
      </c>
      <c r="T59" s="16" t="n">
        <v>0.05</v>
      </c>
      <c r="U59" s="15" t="inlineStr">
        <is>
          <t>—</t>
        </is>
      </c>
      <c r="V59" s="15" t="inlineStr">
        <is>
          <t>—</t>
        </is>
      </c>
      <c r="W59" s="15" t="inlineStr">
        <is>
          <t>—</t>
        </is>
      </c>
      <c r="X59" s="14" t="inlineStr">
        <is>
          <t>中枢：8万下0 / 8–15万5% / 15万+3%（受 CTC/CTB 架构与蔚来竞争约束，分档假设）</t>
        </is>
      </c>
    </row>
    <row r="60" ht="46" customHeight="1">
      <c r="B60" s="12" t="inlineStr">
        <is>
          <t>↳ CATL换电份额（分场景）</t>
        </is>
      </c>
      <c r="C60" s="12" t="inlineStr">
        <is>
          <t>min(1, vehicles.{v}.scenes[s].catl_swap_share ＋ mna.份额上修)</t>
        </is>
      </c>
      <c r="D60" s="12" t="inlineStr">
        <is>
          <t>＝ 分场景CATL换电份额（见下钻逐场景）；× 市场换电车辆 → 进宁德换电车辆</t>
        </is>
      </c>
      <c r="E60" s="12" t="inlineStr">
        <is>
          <t>%</t>
        </is>
      </c>
      <c r="F60" s="15" t="inlineStr">
        <is>
          <t>—</t>
        </is>
      </c>
      <c r="G60" s="15" t="inlineStr">
        <is>
          <t>—</t>
        </is>
      </c>
      <c r="H60" s="15" t="inlineStr">
        <is>
          <t>—</t>
        </is>
      </c>
      <c r="I60" s="15" t="inlineStr">
        <is>
          <t>—</t>
        </is>
      </c>
      <c r="J60" s="15" t="inlineStr">
        <is>
          <t>—</t>
        </is>
      </c>
      <c r="K60" s="15" t="inlineStr">
        <is>
          <t>—</t>
        </is>
      </c>
      <c r="L60" s="15" t="inlineStr">
        <is>
          <t>—</t>
        </is>
      </c>
      <c r="M60" s="15" t="inlineStr">
        <is>
          <t>—</t>
        </is>
      </c>
      <c r="N60" s="15" t="inlineStr">
        <is>
          <t>—</t>
        </is>
      </c>
      <c r="O60" s="15" t="inlineStr">
        <is>
          <t>—</t>
        </is>
      </c>
      <c r="P60" s="15" t="inlineStr">
        <is>
          <t>—</t>
        </is>
      </c>
      <c r="Q60" s="15" t="inlineStr">
        <is>
          <t>—</t>
        </is>
      </c>
      <c r="R60" s="15" t="inlineStr">
        <is>
          <t>—</t>
        </is>
      </c>
      <c r="S60" s="15" t="inlineStr">
        <is>
          <t>—</t>
        </is>
      </c>
      <c r="T60" s="15" t="inlineStr">
        <is>
          <t>—</t>
        </is>
      </c>
      <c r="U60" s="15" t="inlineStr">
        <is>
          <t>—</t>
        </is>
      </c>
      <c r="V60" s="15" t="inlineStr">
        <is>
          <t>—</t>
        </is>
      </c>
      <c r="W60" s="15" t="inlineStr">
        <is>
          <t>—</t>
        </is>
      </c>
      <c r="X60" s="11" t="inlineStr">
        <is>
          <t>重卡短途 30%/长途 70%（极兔订单、奥动原话）；城配 80%；出租/网约 50%；Robotaxi 100%；私家 50%</t>
        </is>
      </c>
    </row>
    <row r="61" ht="46" customHeight="1">
      <c r="B61" s="12" t="inlineStr">
        <is>
          <t>↳↳ 重卡·短途 CATL换电份额</t>
        </is>
      </c>
      <c r="C61" s="12" t="inlineStr">
        <is>
          <t>scenes[].catl_swap_share</t>
        </is>
      </c>
      <c r="D61" s="12" t="inlineStr"/>
      <c r="E61" s="12" t="inlineStr">
        <is>
          <t>%</t>
        </is>
      </c>
      <c r="F61" s="16" t="n">
        <v>0.3</v>
      </c>
      <c r="G61" s="16" t="n">
        <v>0.3</v>
      </c>
      <c r="H61" s="16" t="n">
        <v>0.3</v>
      </c>
      <c r="I61" s="15" t="inlineStr">
        <is>
          <t>—</t>
        </is>
      </c>
      <c r="J61" s="15" t="inlineStr">
        <is>
          <t>—</t>
        </is>
      </c>
      <c r="K61" s="15" t="inlineStr">
        <is>
          <t>—</t>
        </is>
      </c>
      <c r="L61" s="15" t="inlineStr">
        <is>
          <t>—</t>
        </is>
      </c>
      <c r="M61" s="15" t="inlineStr">
        <is>
          <t>—</t>
        </is>
      </c>
      <c r="N61" s="15" t="inlineStr">
        <is>
          <t>—</t>
        </is>
      </c>
      <c r="O61" s="15" t="inlineStr">
        <is>
          <t>—</t>
        </is>
      </c>
      <c r="P61" s="15" t="inlineStr">
        <is>
          <t>—</t>
        </is>
      </c>
      <c r="Q61" s="15" t="inlineStr">
        <is>
          <t>—</t>
        </is>
      </c>
      <c r="R61" s="15" t="inlineStr">
        <is>
          <t>—</t>
        </is>
      </c>
      <c r="S61" s="15" t="inlineStr">
        <is>
          <t>—</t>
        </is>
      </c>
      <c r="T61" s="15" t="inlineStr">
        <is>
          <t>—</t>
        </is>
      </c>
      <c r="U61" s="15" t="inlineStr">
        <is>
          <t>—</t>
        </is>
      </c>
      <c r="V61" s="15" t="inlineStr">
        <is>
          <t>—</t>
        </is>
      </c>
      <c r="W61" s="15" t="inlineStr">
        <is>
          <t>—</t>
        </is>
      </c>
      <c r="X61" s="11" t="inlineStr">
        <is>
          <t>重卡短途 30%/长途 70%（极兔订单、奥动原话）；城配 80%；出租/网约 50%；Robotaxi 100%；私家 50%</t>
        </is>
      </c>
    </row>
    <row r="62" ht="46" customHeight="1">
      <c r="B62" s="12" t="inlineStr">
        <is>
          <t>↳↳ 重卡·中途 CATL换电份额</t>
        </is>
      </c>
      <c r="C62" s="12" t="inlineStr">
        <is>
          <t>scenes[].catl_swap_share</t>
        </is>
      </c>
      <c r="D62" s="12" t="inlineStr"/>
      <c r="E62" s="12" t="inlineStr">
        <is>
          <t>%</t>
        </is>
      </c>
      <c r="F62" s="16" t="n">
        <v>0.3</v>
      </c>
      <c r="G62" s="16" t="n">
        <v>0.3</v>
      </c>
      <c r="H62" s="16" t="n">
        <v>0.3</v>
      </c>
      <c r="I62" s="15" t="inlineStr">
        <is>
          <t>—</t>
        </is>
      </c>
      <c r="J62" s="15" t="inlineStr">
        <is>
          <t>—</t>
        </is>
      </c>
      <c r="K62" s="15" t="inlineStr">
        <is>
          <t>—</t>
        </is>
      </c>
      <c r="L62" s="15" t="inlineStr">
        <is>
          <t>—</t>
        </is>
      </c>
      <c r="M62" s="15" t="inlineStr">
        <is>
          <t>—</t>
        </is>
      </c>
      <c r="N62" s="15" t="inlineStr">
        <is>
          <t>—</t>
        </is>
      </c>
      <c r="O62" s="15" t="inlineStr">
        <is>
          <t>—</t>
        </is>
      </c>
      <c r="P62" s="15" t="inlineStr">
        <is>
          <t>—</t>
        </is>
      </c>
      <c r="Q62" s="15" t="inlineStr">
        <is>
          <t>—</t>
        </is>
      </c>
      <c r="R62" s="15" t="inlineStr">
        <is>
          <t>—</t>
        </is>
      </c>
      <c r="S62" s="15" t="inlineStr">
        <is>
          <t>—</t>
        </is>
      </c>
      <c r="T62" s="15" t="inlineStr">
        <is>
          <t>—</t>
        </is>
      </c>
      <c r="U62" s="15" t="inlineStr">
        <is>
          <t>—</t>
        </is>
      </c>
      <c r="V62" s="15" t="inlineStr">
        <is>
          <t>—</t>
        </is>
      </c>
      <c r="W62" s="15" t="inlineStr">
        <is>
          <t>—</t>
        </is>
      </c>
      <c r="X62" s="11" t="inlineStr">
        <is>
          <t>重卡短途 30%/长途 70%（极兔订单、奥动原话）；城配 80%；出租/网约 50%；Robotaxi 100%；私家 50%</t>
        </is>
      </c>
    </row>
    <row r="63" ht="46" customHeight="1">
      <c r="B63" s="12" t="inlineStr">
        <is>
          <t>↳↳ 重卡·长途 CATL换电份额</t>
        </is>
      </c>
      <c r="C63" s="12" t="inlineStr">
        <is>
          <t>scenes[].catl_swap_share</t>
        </is>
      </c>
      <c r="D63" s="12" t="inlineStr"/>
      <c r="E63" s="12" t="inlineStr">
        <is>
          <t>%</t>
        </is>
      </c>
      <c r="F63" s="16" t="n">
        <v>0.7</v>
      </c>
      <c r="G63" s="16" t="n">
        <v>0.7</v>
      </c>
      <c r="H63" s="16" t="n">
        <v>0.7</v>
      </c>
      <c r="I63" s="15" t="inlineStr">
        <is>
          <t>—</t>
        </is>
      </c>
      <c r="J63" s="15" t="inlineStr">
        <is>
          <t>—</t>
        </is>
      </c>
      <c r="K63" s="15" t="inlineStr">
        <is>
          <t>—</t>
        </is>
      </c>
      <c r="L63" s="15" t="inlineStr">
        <is>
          <t>—</t>
        </is>
      </c>
      <c r="M63" s="15" t="inlineStr">
        <is>
          <t>—</t>
        </is>
      </c>
      <c r="N63" s="15" t="inlineStr">
        <is>
          <t>—</t>
        </is>
      </c>
      <c r="O63" s="15" t="inlineStr">
        <is>
          <t>—</t>
        </is>
      </c>
      <c r="P63" s="15" t="inlineStr">
        <is>
          <t>—</t>
        </is>
      </c>
      <c r="Q63" s="15" t="inlineStr">
        <is>
          <t>—</t>
        </is>
      </c>
      <c r="R63" s="15" t="inlineStr">
        <is>
          <t>—</t>
        </is>
      </c>
      <c r="S63" s="15" t="inlineStr">
        <is>
          <t>—</t>
        </is>
      </c>
      <c r="T63" s="15" t="inlineStr">
        <is>
          <t>—</t>
        </is>
      </c>
      <c r="U63" s="15" t="inlineStr">
        <is>
          <t>—</t>
        </is>
      </c>
      <c r="V63" s="15" t="inlineStr">
        <is>
          <t>—</t>
        </is>
      </c>
      <c r="W63" s="15" t="inlineStr">
        <is>
          <t>—</t>
        </is>
      </c>
      <c r="X63" s="11" t="inlineStr">
        <is>
          <t>重卡短途 30%/长途 70%（极兔订单、奥动原话）；城配 80%；出租/网约 50%；Robotaxi 100%；私家 50%</t>
        </is>
      </c>
    </row>
    <row r="64" ht="46" customHeight="1">
      <c r="B64" s="12" t="inlineStr">
        <is>
          <t>↳↳ 城配物流·高频 CATL换电份额</t>
        </is>
      </c>
      <c r="C64" s="12" t="inlineStr">
        <is>
          <t>scenes[].catl_swap_share</t>
        </is>
      </c>
      <c r="D64" s="12" t="inlineStr"/>
      <c r="E64" s="12" t="inlineStr">
        <is>
          <t>%</t>
        </is>
      </c>
      <c r="F64" s="15" t="inlineStr">
        <is>
          <t>—</t>
        </is>
      </c>
      <c r="G64" s="15" t="inlineStr">
        <is>
          <t>—</t>
        </is>
      </c>
      <c r="H64" s="15" t="inlineStr">
        <is>
          <t>—</t>
        </is>
      </c>
      <c r="I64" s="16" t="n">
        <v>0.8</v>
      </c>
      <c r="J64" s="16" t="n">
        <v>0.8</v>
      </c>
      <c r="K64" s="16" t="n">
        <v>0.8</v>
      </c>
      <c r="L64" s="15" t="inlineStr">
        <is>
          <t>—</t>
        </is>
      </c>
      <c r="M64" s="15" t="inlineStr">
        <is>
          <t>—</t>
        </is>
      </c>
      <c r="N64" s="15" t="inlineStr">
        <is>
          <t>—</t>
        </is>
      </c>
      <c r="O64" s="15" t="inlineStr">
        <is>
          <t>—</t>
        </is>
      </c>
      <c r="P64" s="15" t="inlineStr">
        <is>
          <t>—</t>
        </is>
      </c>
      <c r="Q64" s="15" t="inlineStr">
        <is>
          <t>—</t>
        </is>
      </c>
      <c r="R64" s="15" t="inlineStr">
        <is>
          <t>—</t>
        </is>
      </c>
      <c r="S64" s="15" t="inlineStr">
        <is>
          <t>—</t>
        </is>
      </c>
      <c r="T64" s="15" t="inlineStr">
        <is>
          <t>—</t>
        </is>
      </c>
      <c r="U64" s="15" t="inlineStr">
        <is>
          <t>—</t>
        </is>
      </c>
      <c r="V64" s="15" t="inlineStr">
        <is>
          <t>—</t>
        </is>
      </c>
      <c r="W64" s="15" t="inlineStr">
        <is>
          <t>—</t>
        </is>
      </c>
      <c r="X64" s="11" t="inlineStr">
        <is>
          <t>重卡短途 30%/长途 70%（极兔订单、奥动原话）；城配 80%；出租/网约 50%；Robotaxi 100%；私家 50%</t>
        </is>
      </c>
    </row>
    <row r="65" ht="46" customHeight="1">
      <c r="B65" s="12" t="inlineStr">
        <is>
          <t>↳↳ 城配物流·低频 CATL换电份额</t>
        </is>
      </c>
      <c r="C65" s="12" t="inlineStr">
        <is>
          <t>scenes[].catl_swap_share</t>
        </is>
      </c>
      <c r="D65" s="12" t="inlineStr"/>
      <c r="E65" s="12" t="inlineStr">
        <is>
          <t>%</t>
        </is>
      </c>
      <c r="F65" s="15" t="inlineStr">
        <is>
          <t>—</t>
        </is>
      </c>
      <c r="G65" s="15" t="inlineStr">
        <is>
          <t>—</t>
        </is>
      </c>
      <c r="H65" s="15" t="inlineStr">
        <is>
          <t>—</t>
        </is>
      </c>
      <c r="I65" s="16" t="n">
        <v>0</v>
      </c>
      <c r="J65" s="16" t="n">
        <v>0</v>
      </c>
      <c r="K65" s="16" t="n">
        <v>0</v>
      </c>
      <c r="L65" s="15" t="inlineStr">
        <is>
          <t>—</t>
        </is>
      </c>
      <c r="M65" s="15" t="inlineStr">
        <is>
          <t>—</t>
        </is>
      </c>
      <c r="N65" s="15" t="inlineStr">
        <is>
          <t>—</t>
        </is>
      </c>
      <c r="O65" s="15" t="inlineStr">
        <is>
          <t>—</t>
        </is>
      </c>
      <c r="P65" s="15" t="inlineStr">
        <is>
          <t>—</t>
        </is>
      </c>
      <c r="Q65" s="15" t="inlineStr">
        <is>
          <t>—</t>
        </is>
      </c>
      <c r="R65" s="15" t="inlineStr">
        <is>
          <t>—</t>
        </is>
      </c>
      <c r="S65" s="15" t="inlineStr">
        <is>
          <t>—</t>
        </is>
      </c>
      <c r="T65" s="15" t="inlineStr">
        <is>
          <t>—</t>
        </is>
      </c>
      <c r="U65" s="15" t="inlineStr">
        <is>
          <t>—</t>
        </is>
      </c>
      <c r="V65" s="15" t="inlineStr">
        <is>
          <t>—</t>
        </is>
      </c>
      <c r="W65" s="15" t="inlineStr">
        <is>
          <t>—</t>
        </is>
      </c>
      <c r="X65" s="11" t="inlineStr">
        <is>
          <t>重卡短途 30%/长途 70%（极兔订单、奥动原话）；城配 80%；出租/网约 50%；Robotaxi 100%；私家 50%</t>
        </is>
      </c>
    </row>
    <row r="66" ht="46" customHeight="1">
      <c r="B66" s="12" t="inlineStr">
        <is>
          <t>↳↳ 出租车·出租车 CATL换电份额</t>
        </is>
      </c>
      <c r="C66" s="12" t="inlineStr">
        <is>
          <t>scenes[].catl_swap_share</t>
        </is>
      </c>
      <c r="D66" s="12" t="inlineStr"/>
      <c r="E66" s="12" t="inlineStr">
        <is>
          <t>%</t>
        </is>
      </c>
      <c r="F66" s="15" t="inlineStr">
        <is>
          <t>—</t>
        </is>
      </c>
      <c r="G66" s="15" t="inlineStr">
        <is>
          <t>—</t>
        </is>
      </c>
      <c r="H66" s="15" t="inlineStr">
        <is>
          <t>—</t>
        </is>
      </c>
      <c r="I66" s="15" t="inlineStr">
        <is>
          <t>—</t>
        </is>
      </c>
      <c r="J66" s="15" t="inlineStr">
        <is>
          <t>—</t>
        </is>
      </c>
      <c r="K66" s="15" t="inlineStr">
        <is>
          <t>—</t>
        </is>
      </c>
      <c r="L66" s="15" t="inlineStr">
        <is>
          <t>—</t>
        </is>
      </c>
      <c r="M66" s="15" t="inlineStr">
        <is>
          <t>—</t>
        </is>
      </c>
      <c r="N66" s="15" t="inlineStr">
        <is>
          <t>—</t>
        </is>
      </c>
      <c r="O66" s="15" t="inlineStr">
        <is>
          <t>—</t>
        </is>
      </c>
      <c r="P66" s="15" t="inlineStr">
        <is>
          <t>—</t>
        </is>
      </c>
      <c r="Q66" s="15" t="inlineStr">
        <is>
          <t>—</t>
        </is>
      </c>
      <c r="R66" s="15" t="inlineStr">
        <is>
          <t>—</t>
        </is>
      </c>
      <c r="S66" s="15" t="inlineStr">
        <is>
          <t>—</t>
        </is>
      </c>
      <c r="T66" s="15" t="inlineStr">
        <is>
          <t>—</t>
        </is>
      </c>
      <c r="U66" s="15" t="inlineStr">
        <is>
          <t>—</t>
        </is>
      </c>
      <c r="V66" s="15" t="inlineStr">
        <is>
          <t>—</t>
        </is>
      </c>
      <c r="W66" s="15" t="inlineStr">
        <is>
          <t>—</t>
        </is>
      </c>
      <c r="X66" s="11" t="inlineStr">
        <is>
          <t>重卡短途 30%/长途 70%（极兔订单、奥动原话）；城配 80%；出租/网约 50%；Robotaxi 100%；私家 50%</t>
        </is>
      </c>
    </row>
    <row r="67" ht="46" customHeight="1">
      <c r="B67" s="12" t="inlineStr">
        <is>
          <t>↳↳ 网约车·网约车 CATL换电份额</t>
        </is>
      </c>
      <c r="C67" s="12" t="inlineStr">
        <is>
          <t>scenes[].catl_swap_share</t>
        </is>
      </c>
      <c r="D67" s="12" t="inlineStr"/>
      <c r="E67" s="12" t="inlineStr">
        <is>
          <t>%</t>
        </is>
      </c>
      <c r="F67" s="15" t="inlineStr">
        <is>
          <t>—</t>
        </is>
      </c>
      <c r="G67" s="15" t="inlineStr">
        <is>
          <t>—</t>
        </is>
      </c>
      <c r="H67" s="15" t="inlineStr">
        <is>
          <t>—</t>
        </is>
      </c>
      <c r="I67" s="15" t="inlineStr">
        <is>
          <t>—</t>
        </is>
      </c>
      <c r="J67" s="15" t="inlineStr">
        <is>
          <t>—</t>
        </is>
      </c>
      <c r="K67" s="15" t="inlineStr">
        <is>
          <t>—</t>
        </is>
      </c>
      <c r="L67" s="15" t="inlineStr">
        <is>
          <t>—</t>
        </is>
      </c>
      <c r="M67" s="15" t="inlineStr">
        <is>
          <t>—</t>
        </is>
      </c>
      <c r="N67" s="15" t="inlineStr">
        <is>
          <t>—</t>
        </is>
      </c>
      <c r="O67" s="15" t="inlineStr">
        <is>
          <t>—</t>
        </is>
      </c>
      <c r="P67" s="15" t="inlineStr">
        <is>
          <t>—</t>
        </is>
      </c>
      <c r="Q67" s="15" t="inlineStr">
        <is>
          <t>—</t>
        </is>
      </c>
      <c r="R67" s="15" t="inlineStr">
        <is>
          <t>—</t>
        </is>
      </c>
      <c r="S67" s="15" t="inlineStr">
        <is>
          <t>—</t>
        </is>
      </c>
      <c r="T67" s="15" t="inlineStr">
        <is>
          <t>—</t>
        </is>
      </c>
      <c r="U67" s="15" t="inlineStr">
        <is>
          <t>—</t>
        </is>
      </c>
      <c r="V67" s="15" t="inlineStr">
        <is>
          <t>—</t>
        </is>
      </c>
      <c r="W67" s="15" t="inlineStr">
        <is>
          <t>—</t>
        </is>
      </c>
      <c r="X67" s="11" t="inlineStr">
        <is>
          <t>重卡短途 30%/长途 70%（极兔订单、奥动原话）；城配 80%；出租/网约 50%；Robotaxi 100%；私家 50%</t>
        </is>
      </c>
    </row>
    <row r="68" ht="46" customHeight="1">
      <c r="B68" s="12" t="inlineStr">
        <is>
          <t>↳↳ Robotaxi·Robotaxi CATL换电份额</t>
        </is>
      </c>
      <c r="C68" s="12" t="inlineStr">
        <is>
          <t>scenes[].catl_swap_share</t>
        </is>
      </c>
      <c r="D68" s="12" t="inlineStr"/>
      <c r="E68" s="12" t="inlineStr">
        <is>
          <t>%</t>
        </is>
      </c>
      <c r="F68" s="15" t="inlineStr">
        <is>
          <t>—</t>
        </is>
      </c>
      <c r="G68" s="15" t="inlineStr">
        <is>
          <t>—</t>
        </is>
      </c>
      <c r="H68" s="15" t="inlineStr">
        <is>
          <t>—</t>
        </is>
      </c>
      <c r="I68" s="15" t="inlineStr">
        <is>
          <t>—</t>
        </is>
      </c>
      <c r="J68" s="15" t="inlineStr">
        <is>
          <t>—</t>
        </is>
      </c>
      <c r="K68" s="15" t="inlineStr">
        <is>
          <t>—</t>
        </is>
      </c>
      <c r="L68" s="15" t="inlineStr">
        <is>
          <t>—</t>
        </is>
      </c>
      <c r="M68" s="15" t="inlineStr">
        <is>
          <t>—</t>
        </is>
      </c>
      <c r="N68" s="15" t="inlineStr">
        <is>
          <t>—</t>
        </is>
      </c>
      <c r="O68" s="15" t="inlineStr">
        <is>
          <t>—</t>
        </is>
      </c>
      <c r="P68" s="15" t="inlineStr">
        <is>
          <t>—</t>
        </is>
      </c>
      <c r="Q68" s="15" t="inlineStr">
        <is>
          <t>—</t>
        </is>
      </c>
      <c r="R68" s="15" t="inlineStr">
        <is>
          <t>—</t>
        </is>
      </c>
      <c r="S68" s="15" t="inlineStr">
        <is>
          <t>—</t>
        </is>
      </c>
      <c r="T68" s="15" t="inlineStr">
        <is>
          <t>—</t>
        </is>
      </c>
      <c r="U68" s="15" t="inlineStr">
        <is>
          <t>—</t>
        </is>
      </c>
      <c r="V68" s="15" t="inlineStr">
        <is>
          <t>—</t>
        </is>
      </c>
      <c r="W68" s="15" t="inlineStr">
        <is>
          <t>—</t>
        </is>
      </c>
      <c r="X68" s="11" t="inlineStr">
        <is>
          <t>重卡短途 30%/长途 70%（极兔订单、奥动原话）；城配 80%；出租/网约 50%；Robotaxi 100%；私家 50%</t>
        </is>
      </c>
    </row>
    <row r="69" ht="46" customHeight="1">
      <c r="B69" s="12" t="inlineStr">
        <is>
          <t>↳↳ 私家车·8万元以下 CATL换电份额</t>
        </is>
      </c>
      <c r="C69" s="12" t="inlineStr">
        <is>
          <t>scenes[].catl_swap_share</t>
        </is>
      </c>
      <c r="D69" s="12" t="inlineStr"/>
      <c r="E69" s="12" t="inlineStr">
        <is>
          <t>%</t>
        </is>
      </c>
      <c r="F69" s="15" t="inlineStr">
        <is>
          <t>—</t>
        </is>
      </c>
      <c r="G69" s="15" t="inlineStr">
        <is>
          <t>—</t>
        </is>
      </c>
      <c r="H69" s="15" t="inlineStr">
        <is>
          <t>—</t>
        </is>
      </c>
      <c r="I69" s="15" t="inlineStr">
        <is>
          <t>—</t>
        </is>
      </c>
      <c r="J69" s="15" t="inlineStr">
        <is>
          <t>—</t>
        </is>
      </c>
      <c r="K69" s="15" t="inlineStr">
        <is>
          <t>—</t>
        </is>
      </c>
      <c r="L69" s="15" t="inlineStr">
        <is>
          <t>—</t>
        </is>
      </c>
      <c r="M69" s="15" t="inlineStr">
        <is>
          <t>—</t>
        </is>
      </c>
      <c r="N69" s="15" t="inlineStr">
        <is>
          <t>—</t>
        </is>
      </c>
      <c r="O69" s="15" t="inlineStr">
        <is>
          <t>—</t>
        </is>
      </c>
      <c r="P69" s="15" t="inlineStr">
        <is>
          <t>—</t>
        </is>
      </c>
      <c r="Q69" s="15" t="inlineStr">
        <is>
          <t>—</t>
        </is>
      </c>
      <c r="R69" s="16" t="n">
        <v>0.5</v>
      </c>
      <c r="S69" s="16" t="n">
        <v>0.5</v>
      </c>
      <c r="T69" s="16" t="n">
        <v>0.5</v>
      </c>
      <c r="U69" s="15" t="inlineStr">
        <is>
          <t>—</t>
        </is>
      </c>
      <c r="V69" s="15" t="inlineStr">
        <is>
          <t>—</t>
        </is>
      </c>
      <c r="W69" s="15" t="inlineStr">
        <is>
          <t>—</t>
        </is>
      </c>
      <c r="X69" s="11" t="inlineStr">
        <is>
          <t>重卡短途 30%/长途 70%（极兔订单、奥动原话）；城配 80%；出租/网约 50%；Robotaxi 100%；私家 50%</t>
        </is>
      </c>
    </row>
    <row r="70" ht="46" customHeight="1">
      <c r="B70" s="12" t="inlineStr">
        <is>
          <t>↳↳ 私家车·8至15万元 CATL换电份额</t>
        </is>
      </c>
      <c r="C70" s="12" t="inlineStr">
        <is>
          <t>scenes[].catl_swap_share</t>
        </is>
      </c>
      <c r="D70" s="12" t="inlineStr"/>
      <c r="E70" s="12" t="inlineStr">
        <is>
          <t>%</t>
        </is>
      </c>
      <c r="F70" s="15" t="inlineStr">
        <is>
          <t>—</t>
        </is>
      </c>
      <c r="G70" s="15" t="inlineStr">
        <is>
          <t>—</t>
        </is>
      </c>
      <c r="H70" s="15" t="inlineStr">
        <is>
          <t>—</t>
        </is>
      </c>
      <c r="I70" s="15" t="inlineStr">
        <is>
          <t>—</t>
        </is>
      </c>
      <c r="J70" s="15" t="inlineStr">
        <is>
          <t>—</t>
        </is>
      </c>
      <c r="K70" s="15" t="inlineStr">
        <is>
          <t>—</t>
        </is>
      </c>
      <c r="L70" s="15" t="inlineStr">
        <is>
          <t>—</t>
        </is>
      </c>
      <c r="M70" s="15" t="inlineStr">
        <is>
          <t>—</t>
        </is>
      </c>
      <c r="N70" s="15" t="inlineStr">
        <is>
          <t>—</t>
        </is>
      </c>
      <c r="O70" s="15" t="inlineStr">
        <is>
          <t>—</t>
        </is>
      </c>
      <c r="P70" s="15" t="inlineStr">
        <is>
          <t>—</t>
        </is>
      </c>
      <c r="Q70" s="15" t="inlineStr">
        <is>
          <t>—</t>
        </is>
      </c>
      <c r="R70" s="16" t="n">
        <v>0.5</v>
      </c>
      <c r="S70" s="16" t="n">
        <v>0.5</v>
      </c>
      <c r="T70" s="16" t="n">
        <v>0.5</v>
      </c>
      <c r="U70" s="15" t="inlineStr">
        <is>
          <t>—</t>
        </is>
      </c>
      <c r="V70" s="15" t="inlineStr">
        <is>
          <t>—</t>
        </is>
      </c>
      <c r="W70" s="15" t="inlineStr">
        <is>
          <t>—</t>
        </is>
      </c>
      <c r="X70" s="11" t="inlineStr">
        <is>
          <t>重卡短途 30%/长途 70%（极兔订单、奥动原话）；城配 80%；出租/网约 50%；Robotaxi 100%；私家 50%</t>
        </is>
      </c>
    </row>
    <row r="71" ht="46" customHeight="1">
      <c r="B71" s="12" t="inlineStr">
        <is>
          <t>↳↳ 私家车·15万元以上 CATL换电份额</t>
        </is>
      </c>
      <c r="C71" s="12" t="inlineStr">
        <is>
          <t>scenes[].catl_swap_share</t>
        </is>
      </c>
      <c r="D71" s="12" t="inlineStr"/>
      <c r="E71" s="12" t="inlineStr">
        <is>
          <t>%</t>
        </is>
      </c>
      <c r="F71" s="15" t="inlineStr">
        <is>
          <t>—</t>
        </is>
      </c>
      <c r="G71" s="15" t="inlineStr">
        <is>
          <t>—</t>
        </is>
      </c>
      <c r="H71" s="15" t="inlineStr">
        <is>
          <t>—</t>
        </is>
      </c>
      <c r="I71" s="15" t="inlineStr">
        <is>
          <t>—</t>
        </is>
      </c>
      <c r="J71" s="15" t="inlineStr">
        <is>
          <t>—</t>
        </is>
      </c>
      <c r="K71" s="15" t="inlineStr">
        <is>
          <t>—</t>
        </is>
      </c>
      <c r="L71" s="15" t="inlineStr">
        <is>
          <t>—</t>
        </is>
      </c>
      <c r="M71" s="15" t="inlineStr">
        <is>
          <t>—</t>
        </is>
      </c>
      <c r="N71" s="15" t="inlineStr">
        <is>
          <t>—</t>
        </is>
      </c>
      <c r="O71" s="15" t="inlineStr">
        <is>
          <t>—</t>
        </is>
      </c>
      <c r="P71" s="15" t="inlineStr">
        <is>
          <t>—</t>
        </is>
      </c>
      <c r="Q71" s="15" t="inlineStr">
        <is>
          <t>—</t>
        </is>
      </c>
      <c r="R71" s="16" t="n">
        <v>0.5</v>
      </c>
      <c r="S71" s="16" t="n">
        <v>0.5</v>
      </c>
      <c r="T71" s="16" t="n">
        <v>0.5</v>
      </c>
      <c r="U71" s="15" t="inlineStr">
        <is>
          <t>—</t>
        </is>
      </c>
      <c r="V71" s="15" t="inlineStr">
        <is>
          <t>—</t>
        </is>
      </c>
      <c r="W71" s="15" t="inlineStr">
        <is>
          <t>—</t>
        </is>
      </c>
      <c r="X71" s="11" t="inlineStr">
        <is>
          <t>重卡短途 30%/长途 70%（极兔订单、奥动原话）；城配 80%；出租/网约 50%；Robotaxi 100%；私家 50%</t>
        </is>
      </c>
    </row>
    <row r="72" ht="32" customHeight="1">
      <c r="B72" s="12" t="inlineStr">
        <is>
          <t>↳↳ 份额上修（重卡/乘用）</t>
        </is>
      </c>
      <c r="C72" s="12" t="inlineStr">
        <is>
          <t>mna.{heavy/passenger}_catl_swap_share_uplift</t>
        </is>
      </c>
      <c r="D72" s="12" t="inlineStr"/>
      <c r="E72" s="12" t="inlineStr">
        <is>
          <t>%</t>
        </is>
      </c>
      <c r="F72" s="16" t="n">
        <v>0</v>
      </c>
      <c r="G72" s="16" t="n">
        <v>0</v>
      </c>
      <c r="H72" s="16" t="n">
        <v>0</v>
      </c>
      <c r="I72" s="15" t="inlineStr">
        <is>
          <t>—</t>
        </is>
      </c>
      <c r="J72" s="15" t="inlineStr">
        <is>
          <t>—</t>
        </is>
      </c>
      <c r="K72" s="15" t="inlineStr">
        <is>
          <t>—</t>
        </is>
      </c>
      <c r="L72" s="15" t="inlineStr">
        <is>
          <t>—</t>
        </is>
      </c>
      <c r="M72" s="15" t="inlineStr">
        <is>
          <t>—</t>
        </is>
      </c>
      <c r="N72" s="15" t="inlineStr">
        <is>
          <t>—</t>
        </is>
      </c>
      <c r="O72" s="15" t="inlineStr">
        <is>
          <t>—</t>
        </is>
      </c>
      <c r="P72" s="15" t="inlineStr">
        <is>
          <t>—</t>
        </is>
      </c>
      <c r="Q72" s="15" t="inlineStr">
        <is>
          <t>—</t>
        </is>
      </c>
      <c r="R72" s="16" t="n">
        <v>0</v>
      </c>
      <c r="S72" s="16" t="n">
        <v>0</v>
      </c>
      <c r="T72" s="16" t="n">
        <v>0</v>
      </c>
      <c r="U72" s="15" t="inlineStr">
        <is>
          <t>—</t>
        </is>
      </c>
      <c r="V72" s="15" t="inlineStr">
        <is>
          <t>—</t>
        </is>
      </c>
      <c r="W72" s="15" t="inlineStr">
        <is>
          <t>—</t>
        </is>
      </c>
      <c r="X72" s="14" t="inlineStr">
        <is>
          <t>mna 基准情景 启源入股_不收蔚来 ⇒ 上修=0（重卡/乘用均 0）；并购情景才 重卡+1%/乘用+2~3%</t>
        </is>
      </c>
    </row>
    <row r="73" ht="32" customHeight="1">
      <c r="B73" s="12" t="inlineStr">
        <is>
          <t>↳ 首年存量CATL换电结转（万辆）</t>
        </is>
      </c>
      <c r="C73" s="12" t="inlineStr">
        <is>
          <t>vehicles.{v}.existing_catl_swap_stock_wan</t>
        </is>
      </c>
      <c r="D73" s="12" t="inlineStr"/>
      <c r="E73" s="12" t="inlineStr">
        <is>
          <t>万辆</t>
        </is>
      </c>
      <c r="F73" s="13" t="n">
        <v>0.7</v>
      </c>
      <c r="G73" s="13" t="n">
        <v>0.7</v>
      </c>
      <c r="H73" s="13" t="n">
        <v>0.7</v>
      </c>
      <c r="I73" s="15" t="inlineStr">
        <is>
          <t>—</t>
        </is>
      </c>
      <c r="J73" s="15" t="inlineStr">
        <is>
          <t>—</t>
        </is>
      </c>
      <c r="K73" s="15" t="inlineStr">
        <is>
          <t>—</t>
        </is>
      </c>
      <c r="L73" s="15" t="inlineStr">
        <is>
          <t>—</t>
        </is>
      </c>
      <c r="M73" s="15" t="inlineStr">
        <is>
          <t>—</t>
        </is>
      </c>
      <c r="N73" s="15" t="inlineStr">
        <is>
          <t>—</t>
        </is>
      </c>
      <c r="O73" s="13" t="n">
        <v>0.7</v>
      </c>
      <c r="P73" s="13" t="n">
        <v>0.7</v>
      </c>
      <c r="Q73" s="13" t="n">
        <v>0.7</v>
      </c>
      <c r="R73" s="15" t="inlineStr">
        <is>
          <t>—</t>
        </is>
      </c>
      <c r="S73" s="15" t="inlineStr">
        <is>
          <t>—</t>
        </is>
      </c>
      <c r="T73" s="15" t="inlineStr">
        <is>
          <t>—</t>
        </is>
      </c>
      <c r="U73" s="13" t="n">
        <v>0.7</v>
      </c>
      <c r="V73" s="13" t="n">
        <v>0.7</v>
      </c>
      <c r="W73" s="13" t="n">
        <v>0.7</v>
      </c>
      <c r="X73" s="14" t="inlineStr">
        <is>
          <t>2025 已入 CATL 换电体系存量：重卡 0.7 万（盐田港案例）、城配单列不并入 headline</t>
        </is>
      </c>
    </row>
    <row r="74">
      <c r="B74" s="5" t="inlineStr">
        <is>
          <t>B. 运营层：里程 / 背电量 / 电耗 → 频次与单次补电量 → 换电量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</row>
    <row r="75" ht="32" customHeight="1">
      <c r="A75" s="7" t="n">
        <v>2</v>
      </c>
      <c r="B75" s="17" t="inlineStr">
        <is>
          <t>年换电量（亿度）</t>
        </is>
      </c>
      <c r="C75" s="9" t="inlineStr">
        <is>
          <t>swap.annual_energy_yi_kwh</t>
        </is>
      </c>
      <c r="D75" s="9">
        <f> 换电车辆 × 1e4 × 换电频次 × 单次补电量 × 年运营天数 ÷ 1e8</f>
        <v/>
      </c>
      <c r="E75" s="9" t="inlineStr">
        <is>
          <t>亿度</t>
        </is>
      </c>
      <c r="F75" s="18" t="n">
        <v>970.8215475</v>
      </c>
      <c r="G75" s="18" t="n">
        <v>970.8215475</v>
      </c>
      <c r="H75" s="18" t="n">
        <v>970.8215475</v>
      </c>
      <c r="I75" s="18" t="n">
        <v>242.3925</v>
      </c>
      <c r="J75" s="18" t="n">
        <v>242.3925</v>
      </c>
      <c r="K75" s="18" t="n">
        <v>242.3925</v>
      </c>
      <c r="L75" s="18" t="n">
        <v>189.2544818778409</v>
      </c>
      <c r="M75" s="18" t="n">
        <v>189.2544818778409</v>
      </c>
      <c r="N75" s="18" t="n">
        <v>189.2544818778409</v>
      </c>
      <c r="O75" s="18" t="n">
        <v>1402.468529377841</v>
      </c>
      <c r="P75" s="18" t="n">
        <v>1402.468529377841</v>
      </c>
      <c r="Q75" s="18" t="n">
        <v>1402.468529377841</v>
      </c>
      <c r="R75" s="18" t="n">
        <v>16.03476</v>
      </c>
      <c r="S75" s="18" t="n">
        <v>45.49797</v>
      </c>
      <c r="T75" s="18" t="n">
        <v>78.93017999999999</v>
      </c>
      <c r="U75" s="18" t="n">
        <v>1418.503289377841</v>
      </c>
      <c r="V75" s="18" t="n">
        <v>1447.966499377841</v>
      </c>
      <c r="W75" s="18" t="n">
        <v>1481.398709377841</v>
      </c>
      <c r="X75" s="14" t="inlineStr">
        <is>
          <t>＝换电车辆×1e4×频次×单次补电量×运营天数÷1e8</t>
        </is>
      </c>
    </row>
    <row r="76" ht="32" customHeight="1">
      <c r="B76" s="12" t="inlineStr">
        <is>
          <t>↳ 换电频次（次/天）</t>
        </is>
      </c>
      <c r="C76" s="12" t="inlineStr">
        <is>
          <t>scale.terminal_frequency_by_vehicle</t>
        </is>
      </c>
      <c r="D76" s="12">
        <f> 日均里程 ÷ 可用续航；可用续航 = 背电量 × 可用能量系数 ÷ 电耗</f>
        <v/>
      </c>
      <c r="E76" s="12" t="inlineStr">
        <is>
          <t>次/天</t>
        </is>
      </c>
      <c r="F76" s="19" t="n">
        <v>1.8</v>
      </c>
      <c r="G76" s="19" t="n">
        <v>1.8</v>
      </c>
      <c r="H76" s="19" t="n">
        <v>1.8</v>
      </c>
      <c r="I76" s="19" t="n">
        <v>1.3</v>
      </c>
      <c r="J76" s="19" t="n">
        <v>1.3</v>
      </c>
      <c r="K76" s="19" t="n">
        <v>1.3</v>
      </c>
      <c r="L76" s="19" t="n">
        <v>1.422857142857143</v>
      </c>
      <c r="M76" s="19" t="n">
        <v>1.422857142857143</v>
      </c>
      <c r="N76" s="19" t="n">
        <v>1.422857142857143</v>
      </c>
      <c r="O76" s="19" t="n">
        <v>1.441301204819277</v>
      </c>
      <c r="P76" s="19" t="n">
        <v>1.441301204819277</v>
      </c>
      <c r="Q76" s="19" t="n">
        <v>1.441301204819277</v>
      </c>
      <c r="R76" s="19" t="n">
        <v>0.2</v>
      </c>
      <c r="S76" s="19" t="n">
        <v>0.2</v>
      </c>
      <c r="T76" s="19" t="n">
        <v>0.2</v>
      </c>
      <c r="U76" s="19" t="n">
        <v>1.196787925696595</v>
      </c>
      <c r="V76" s="19" t="n">
        <v>0.9319408922989487</v>
      </c>
      <c r="W76" s="19" t="n">
        <v>0.7622571490940843</v>
      </c>
      <c r="X76" s="14" t="inlineStr">
        <is>
          <t>＝日均里程÷可用续航；可用续航＝背电量×可用系数÷电耗（derived.py）</t>
        </is>
      </c>
    </row>
    <row r="77" ht="32" customHeight="1">
      <c r="B77" s="12" t="inlineStr">
        <is>
          <t>↳ 单次补电量（kWh）</t>
        </is>
      </c>
      <c r="C77" s="12" t="inlineStr">
        <is>
          <t>onboard_battery_kwh × usable_energy_factor</t>
        </is>
      </c>
      <c r="D77" s="12">
        <f> 场景背电量 × 可用能量系数（补能比例）</f>
        <v/>
      </c>
      <c r="E77" s="12" t="inlineStr">
        <is>
          <t>kWh</t>
        </is>
      </c>
      <c r="F77" s="13" t="n">
        <v>382.5514285714287</v>
      </c>
      <c r="G77" s="13" t="n">
        <v>382.5514285714287</v>
      </c>
      <c r="H77" s="13" t="n">
        <v>382.5514285714287</v>
      </c>
      <c r="I77" s="13" t="n">
        <v>64.8</v>
      </c>
      <c r="J77" s="13" t="n">
        <v>64.8</v>
      </c>
      <c r="K77" s="13" t="n">
        <v>64.8</v>
      </c>
      <c r="L77" s="13" t="n">
        <v>44.8</v>
      </c>
      <c r="M77" s="13" t="n">
        <v>44.8</v>
      </c>
      <c r="N77" s="13" t="n">
        <v>44.8</v>
      </c>
      <c r="O77" s="13" t="n">
        <v>114.8942375215147</v>
      </c>
      <c r="P77" s="13" t="n">
        <v>114.8942375215147</v>
      </c>
      <c r="Q77" s="13" t="n">
        <v>114.8942375215147</v>
      </c>
      <c r="R77" s="13" t="n">
        <v>44.8</v>
      </c>
      <c r="S77" s="13" t="n">
        <v>44.8</v>
      </c>
      <c r="T77" s="13" t="n">
        <v>44.80000000000001</v>
      </c>
      <c r="U77" s="13" t="n">
        <v>101.086974789916</v>
      </c>
      <c r="V77" s="13" t="n">
        <v>86.13149839646005</v>
      </c>
      <c r="W77" s="13" t="n">
        <v>76.54973648922569</v>
      </c>
      <c r="X77" s="14" t="inlineStr">
        <is>
          <t>＝背电量×可用能量系数(补能比例)；重卡 342/513、乘用 56、城配 81</t>
        </is>
      </c>
    </row>
    <row r="78" ht="46" customHeight="1">
      <c r="B78" s="12" t="inlineStr">
        <is>
          <t>↳ 日均里程（km）</t>
        </is>
      </c>
      <c r="C78" s="12" t="inlineStr">
        <is>
          <t>vehicles.{v}.scenes[].daily_km</t>
        </is>
      </c>
      <c r="D78" s="12" t="inlineStr"/>
      <c r="E78" s="12" t="inlineStr">
        <is>
          <t>km</t>
        </is>
      </c>
      <c r="F78" s="13" t="n">
        <v>432.5357142857142</v>
      </c>
      <c r="G78" s="13" t="n">
        <v>432.5357142857142</v>
      </c>
      <c r="H78" s="13" t="n">
        <v>432.5357142857142</v>
      </c>
      <c r="I78" s="13" t="n">
        <v>300</v>
      </c>
      <c r="J78" s="13" t="n">
        <v>300</v>
      </c>
      <c r="K78" s="13" t="n">
        <v>300</v>
      </c>
      <c r="L78" s="13" t="n">
        <v>429.1714285714286</v>
      </c>
      <c r="M78" s="13" t="n">
        <v>429.1714285714286</v>
      </c>
      <c r="N78" s="13" t="n">
        <v>429.1714285714286</v>
      </c>
      <c r="O78" s="13" t="n">
        <v>376.5626850258175</v>
      </c>
      <c r="P78" s="13" t="n">
        <v>376.5626850258175</v>
      </c>
      <c r="Q78" s="13" t="n">
        <v>376.5626850258175</v>
      </c>
      <c r="R78" s="13" t="n">
        <v>60</v>
      </c>
      <c r="S78" s="13" t="n">
        <v>60.00000000000001</v>
      </c>
      <c r="T78" s="13" t="n">
        <v>60</v>
      </c>
      <c r="U78" s="13" t="n">
        <v>314.2057164971252</v>
      </c>
      <c r="V78" s="13" t="n">
        <v>246.6631348191451</v>
      </c>
      <c r="W78" s="13" t="n">
        <v>203.3895593600898</v>
      </c>
      <c r="X78" s="14" t="inlineStr">
        <is>
          <t>分场景日均里程：重卡 130/400/650、城配 300、出租 450、网约 342、Robotaxi 450、私家 60</t>
        </is>
      </c>
    </row>
    <row r="79" ht="46" customHeight="1">
      <c r="B79" s="12" t="inlineStr">
        <is>
          <t>↳ 背电量（kWh）</t>
        </is>
      </c>
      <c r="C79" s="12" t="inlineStr">
        <is>
          <t>vehicles.{v}.scenes[].onboard_battery_kwh</t>
        </is>
      </c>
      <c r="D79" s="12" t="inlineStr"/>
      <c r="E79" s="12" t="inlineStr">
        <is>
          <t>kWh</t>
        </is>
      </c>
      <c r="F79" s="13" t="n">
        <v>478.1892857142859</v>
      </c>
      <c r="G79" s="13" t="n">
        <v>478.1892857142859</v>
      </c>
      <c r="H79" s="13" t="n">
        <v>478.1892857142859</v>
      </c>
      <c r="I79" s="13" t="n">
        <v>81</v>
      </c>
      <c r="J79" s="13" t="n">
        <v>81</v>
      </c>
      <c r="K79" s="13" t="n">
        <v>81</v>
      </c>
      <c r="L79" s="13" t="n">
        <v>56</v>
      </c>
      <c r="M79" s="13" t="n">
        <v>56</v>
      </c>
      <c r="N79" s="13" t="n">
        <v>56</v>
      </c>
      <c r="O79" s="13" t="n">
        <v>143.6177969018933</v>
      </c>
      <c r="P79" s="13" t="n">
        <v>143.6177969018933</v>
      </c>
      <c r="Q79" s="13" t="n">
        <v>143.6177969018933</v>
      </c>
      <c r="R79" s="13" t="n">
        <v>56</v>
      </c>
      <c r="S79" s="13" t="n">
        <v>55.99999999999999</v>
      </c>
      <c r="T79" s="13" t="n">
        <v>56.00000000000001</v>
      </c>
      <c r="U79" s="13" t="n">
        <v>126.358718487395</v>
      </c>
      <c r="V79" s="13" t="n">
        <v>107.6643729955751</v>
      </c>
      <c r="W79" s="13" t="n">
        <v>95.68717061153211</v>
      </c>
      <c r="X79" s="11" t="inlineStr">
        <is>
          <t>实际装车电量：重卡短途 342/中长途 513（盐田港 171kWh 块）、乘用 56（25#块）、城配 81（35#块）</t>
        </is>
      </c>
    </row>
    <row r="80" ht="32" customHeight="1">
      <c r="B80" s="12" t="inlineStr">
        <is>
          <t>↳ 电耗（kWh/km）</t>
        </is>
      </c>
      <c r="C80" s="12" t="inlineStr">
        <is>
          <t>vehicles.{v}.scenes[].energy_consumption_kwh_km</t>
        </is>
      </c>
      <c r="D80" s="12" t="inlineStr"/>
      <c r="E80" s="12" t="inlineStr">
        <is>
          <t>kWh/km</t>
        </is>
      </c>
      <c r="F80" s="19" t="n">
        <v>1.659285714285714</v>
      </c>
      <c r="G80" s="19" t="n">
        <v>1.659285714285714</v>
      </c>
      <c r="H80" s="19" t="n">
        <v>1.659285714285714</v>
      </c>
      <c r="I80" s="19" t="n">
        <v>0.27</v>
      </c>
      <c r="J80" s="19" t="n">
        <v>0.27</v>
      </c>
      <c r="K80" s="19" t="n">
        <v>0.27</v>
      </c>
      <c r="L80" s="19" t="n">
        <v>0.15</v>
      </c>
      <c r="M80" s="19" t="n">
        <v>0.15</v>
      </c>
      <c r="N80" s="19" t="n">
        <v>0.15</v>
      </c>
      <c r="O80" s="19" t="n">
        <v>0.4758450946643717</v>
      </c>
      <c r="P80" s="19" t="n">
        <v>0.4758450946643717</v>
      </c>
      <c r="Q80" s="19" t="n">
        <v>0.4758450946643717</v>
      </c>
      <c r="R80" s="19" t="n">
        <v>0.15</v>
      </c>
      <c r="S80" s="19" t="n">
        <v>0.15</v>
      </c>
      <c r="T80" s="19" t="n">
        <v>0.15</v>
      </c>
      <c r="U80" s="19" t="n">
        <v>0.4116596638655463</v>
      </c>
      <c r="V80" s="19" t="n">
        <v>0.3421365647708359</v>
      </c>
      <c r="W80" s="19" t="n">
        <v>0.2975940998534319</v>
      </c>
      <c r="X80" s="14" t="inlineStr">
        <is>
          <t>单公里电耗：重卡 1.5/1.7、乘用 0.15、城配 0.27</t>
        </is>
      </c>
    </row>
    <row r="81" ht="32" customHeight="1">
      <c r="B81" s="12" t="inlineStr">
        <is>
          <t>↳ 可用能量系数（补能比例）</t>
        </is>
      </c>
      <c r="C81" s="12" t="inlineStr">
        <is>
          <t>swap_business.usable_energy_factor</t>
        </is>
      </c>
      <c r="D81" s="12" t="inlineStr"/>
      <c r="E81" s="12" t="inlineStr">
        <is>
          <t>%</t>
        </is>
      </c>
      <c r="F81" s="16" t="n">
        <v>0.8</v>
      </c>
      <c r="G81" s="16" t="n">
        <v>0.8</v>
      </c>
      <c r="H81" s="16" t="n">
        <v>0.8</v>
      </c>
      <c r="I81" s="16" t="n">
        <v>0.8</v>
      </c>
      <c r="J81" s="16" t="n">
        <v>0.8</v>
      </c>
      <c r="K81" s="16" t="n">
        <v>0.8</v>
      </c>
      <c r="L81" s="16" t="n">
        <v>0.8</v>
      </c>
      <c r="M81" s="16" t="n">
        <v>0.8</v>
      </c>
      <c r="N81" s="16" t="n">
        <v>0.8</v>
      </c>
      <c r="O81" s="16" t="n">
        <v>0.8</v>
      </c>
      <c r="P81" s="16" t="n">
        <v>0.8</v>
      </c>
      <c r="Q81" s="16" t="n">
        <v>0.8</v>
      </c>
      <c r="R81" s="16" t="n">
        <v>0.8</v>
      </c>
      <c r="S81" s="16" t="n">
        <v>0.8</v>
      </c>
      <c r="T81" s="16" t="n">
        <v>0.8</v>
      </c>
      <c r="U81" s="16" t="n">
        <v>0.8</v>
      </c>
      <c r="V81" s="16" t="n">
        <v>0.8</v>
      </c>
      <c r="W81" s="16" t="n">
        <v>0.8</v>
      </c>
      <c r="X81" s="14" t="inlineStr">
        <is>
          <t>可用 SOC 窗口占装车电量比例（换电非 0→100%），经验假设</t>
        </is>
      </c>
    </row>
    <row r="82" ht="32" customHeight="1">
      <c r="B82" s="12" t="inlineStr">
        <is>
          <t>↳ 可用续航（km）</t>
        </is>
      </c>
      <c r="C82" s="12" t="inlineStr">
        <is>
          <t>onboard_kwh × usable_energy_factor ÷ 电耗</t>
        </is>
      </c>
      <c r="D82" s="12">
        <f> 背电量 × 可用能量系数 ÷ 电耗（频次的分母）</f>
        <v/>
      </c>
      <c r="E82" s="12" t="inlineStr">
        <is>
          <t>km</t>
        </is>
      </c>
      <c r="F82" s="13" t="n">
        <v>230.5518725785622</v>
      </c>
      <c r="G82" s="13" t="n">
        <v>230.5518725785622</v>
      </c>
      <c r="H82" s="13" t="n">
        <v>230.5518725785622</v>
      </c>
      <c r="I82" s="13" t="n">
        <v>240</v>
      </c>
      <c r="J82" s="13" t="n">
        <v>240</v>
      </c>
      <c r="K82" s="13" t="n">
        <v>240</v>
      </c>
      <c r="L82" s="13" t="n">
        <v>298.6666666666667</v>
      </c>
      <c r="M82" s="13" t="n">
        <v>298.6666666666667</v>
      </c>
      <c r="N82" s="13" t="n">
        <v>298.6666666666667</v>
      </c>
      <c r="O82" s="13" t="n">
        <v>262.0191381107728</v>
      </c>
      <c r="P82" s="13" t="n">
        <v>262.0191381107728</v>
      </c>
      <c r="Q82" s="13" t="n">
        <v>262.0191381107728</v>
      </c>
      <c r="R82" s="13" t="n">
        <v>298.6666666666667</v>
      </c>
      <c r="S82" s="13" t="n">
        <v>298.6666666666667</v>
      </c>
      <c r="T82" s="13" t="n">
        <v>298.6666666666667</v>
      </c>
      <c r="U82" s="13" t="n">
        <v>269.2380204772396</v>
      </c>
      <c r="V82" s="13" t="n">
        <v>277.0572259865077</v>
      </c>
      <c r="W82" s="13" t="n">
        <v>282.0668802109846</v>
      </c>
      <c r="X82" s="14" t="inlineStr">
        <is>
          <t>＝背电量×可用系数÷电耗（频次的分母）</t>
        </is>
      </c>
    </row>
    <row r="83" ht="18" customHeight="1">
      <c r="B83" s="12" t="inlineStr">
        <is>
          <t>↳ 年运营天数</t>
        </is>
      </c>
      <c r="C83" s="12" t="inlineStr">
        <is>
          <t>swap_business.operating_days</t>
        </is>
      </c>
      <c r="D83" s="12" t="inlineStr"/>
      <c r="E83" s="12" t="inlineStr">
        <is>
          <t>天</t>
        </is>
      </c>
      <c r="F83" s="13" t="n">
        <v>350</v>
      </c>
      <c r="G83" s="13" t="n">
        <v>350</v>
      </c>
      <c r="H83" s="13" t="n">
        <v>350</v>
      </c>
      <c r="I83" s="13" t="n">
        <v>350</v>
      </c>
      <c r="J83" s="13" t="n">
        <v>350</v>
      </c>
      <c r="K83" s="13" t="n">
        <v>350</v>
      </c>
      <c r="L83" s="13" t="n">
        <v>350</v>
      </c>
      <c r="M83" s="13" t="n">
        <v>350</v>
      </c>
      <c r="N83" s="13" t="n">
        <v>350</v>
      </c>
      <c r="O83" s="13" t="n">
        <v>350</v>
      </c>
      <c r="P83" s="13" t="n">
        <v>350</v>
      </c>
      <c r="Q83" s="13" t="n">
        <v>350</v>
      </c>
      <c r="R83" s="13" t="n">
        <v>350</v>
      </c>
      <c r="S83" s="13" t="n">
        <v>350</v>
      </c>
      <c r="T83" s="13" t="n">
        <v>350</v>
      </c>
      <c r="U83" s="13" t="n">
        <v>350</v>
      </c>
      <c r="V83" s="13" t="n">
        <v>350</v>
      </c>
      <c r="W83" s="13" t="n">
        <v>350</v>
      </c>
      <c r="X83" s="14" t="inlineStr">
        <is>
          <t>年运营天数，保守取 350（留检修与极端天气），经验假设</t>
        </is>
      </c>
    </row>
    <row r="84">
      <c r="B84" s="5" t="inlineStr">
        <is>
          <t>C. 站数层：日换电需求 ÷ 单站能力 → 站数（冗余优先）</t>
        </is>
      </c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</row>
    <row r="85" ht="32" customHeight="1">
      <c r="A85" s="7" t="n">
        <v>3</v>
      </c>
      <c r="B85" s="20" t="inlineStr">
        <is>
          <t>换电站数（座）</t>
        </is>
      </c>
      <c r="C85" s="9" t="inlineStr">
        <is>
          <t>scale.target_station_demand</t>
        </is>
      </c>
      <c r="D85" s="9">
        <f> ⌈(日换电需求 − 私家溢出) ÷ 单站规划能力⌉，私家先填单站物理冗余，溢出才新建</f>
        <v/>
      </c>
      <c r="E85" s="9" t="inlineStr">
        <is>
          <t>座</t>
        </is>
      </c>
      <c r="F85" s="21" t="n">
        <v>3596</v>
      </c>
      <c r="G85" s="21" t="n">
        <v>3596</v>
      </c>
      <c r="H85" s="21" t="n">
        <v>3596</v>
      </c>
      <c r="I85" s="21" t="n">
        <v>3705</v>
      </c>
      <c r="J85" s="21" t="n">
        <v>3705</v>
      </c>
      <c r="K85" s="21" t="n">
        <v>3705</v>
      </c>
      <c r="L85" s="21" t="n">
        <v>3672.817186640429</v>
      </c>
      <c r="M85" s="21" t="n">
        <v>3211.850823154235</v>
      </c>
      <c r="N85" s="21" t="n">
        <v>2811.45778629489</v>
      </c>
      <c r="O85" s="21" t="n">
        <v>10973.81718664043</v>
      </c>
      <c r="P85" s="21" t="n">
        <v>10512.85082315423</v>
      </c>
      <c r="Q85" s="21" t="n">
        <v>10112.45778629489</v>
      </c>
      <c r="R85" s="21" t="n">
        <v>311.182813359571</v>
      </c>
      <c r="S85" s="21" t="n">
        <v>772.1491768457655</v>
      </c>
      <c r="T85" s="21" t="n">
        <v>1172.54221370511</v>
      </c>
      <c r="U85" s="21" t="n">
        <v>11285</v>
      </c>
      <c r="V85" s="21" t="n">
        <v>11285</v>
      </c>
      <c r="W85" s="21" t="n">
        <v>11285</v>
      </c>
      <c r="X85" s="14" t="inlineStr">
        <is>
          <t>＝⌈(日换电需求−私家溢出)÷单站规划能力⌉，私家先填单站物理冗余、溢出才新建（四站型独立反推）</t>
        </is>
      </c>
    </row>
    <row r="86" ht="18" customHeight="1">
      <c r="B86" s="12" t="inlineStr">
        <is>
          <t>↳ 日换电次数（万次）</t>
        </is>
      </c>
      <c r="C86" s="12" t="inlineStr">
        <is>
          <t>vehicles × 频次</t>
        </is>
      </c>
      <c r="D86" s="12">
        <f> 换电车辆 × 换电频次</f>
        <v/>
      </c>
      <c r="E86" s="12" t="inlineStr">
        <is>
          <t>万次/日</t>
        </is>
      </c>
      <c r="F86" s="13" t="n">
        <v>68.40000000000001</v>
      </c>
      <c r="G86" s="13" t="n">
        <v>68.40000000000001</v>
      </c>
      <c r="H86" s="13" t="n">
        <v>68.40000000000001</v>
      </c>
      <c r="I86" s="13" t="n">
        <v>111.15</v>
      </c>
      <c r="J86" s="13" t="n">
        <v>111.15</v>
      </c>
      <c r="K86" s="13" t="n">
        <v>111.15</v>
      </c>
      <c r="L86" s="13" t="n">
        <v>119.52</v>
      </c>
      <c r="M86" s="13" t="n">
        <v>119.52</v>
      </c>
      <c r="N86" s="13" t="n">
        <v>119.52</v>
      </c>
      <c r="O86" s="13" t="n">
        <v>299.07</v>
      </c>
      <c r="P86" s="13" t="n">
        <v>299.07</v>
      </c>
      <c r="Q86" s="13" t="n">
        <v>299.07</v>
      </c>
      <c r="R86" s="13" t="n">
        <v>10.18</v>
      </c>
      <c r="S86" s="13" t="n">
        <v>28.88</v>
      </c>
      <c r="T86" s="13" t="n">
        <v>50.12</v>
      </c>
      <c r="U86" s="13" t="n">
        <v>309.25</v>
      </c>
      <c r="V86" s="13" t="n">
        <v>327.95</v>
      </c>
      <c r="W86" s="13" t="n">
        <v>349.19</v>
      </c>
      <c r="X86" s="14" t="inlineStr">
        <is>
          <t>＝换电车辆×换电频次</t>
        </is>
      </c>
    </row>
    <row r="87" ht="18" customHeight="1">
      <c r="B87" s="12" t="inlineStr">
        <is>
          <t>↳ 单站规划能力</t>
        </is>
      </c>
      <c r="C87" s="12" t="inlineStr">
        <is>
          <t>stations.{pool}.planning_daily_capacity</t>
        </is>
      </c>
      <c r="D87" s="12" t="inlineStr"/>
      <c r="E87" s="12" t="inlineStr">
        <is>
          <t>次/日</t>
        </is>
      </c>
      <c r="F87" s="13" t="n">
        <v>192</v>
      </c>
      <c r="G87" s="13" t="n">
        <v>192</v>
      </c>
      <c r="H87" s="13" t="n">
        <v>192</v>
      </c>
      <c r="I87" s="13" t="n">
        <v>300</v>
      </c>
      <c r="J87" s="13" t="n">
        <v>300</v>
      </c>
      <c r="K87" s="13" t="n">
        <v>300</v>
      </c>
      <c r="L87" s="13" t="n">
        <v>300</v>
      </c>
      <c r="M87" s="13" t="n">
        <v>300</v>
      </c>
      <c r="N87" s="13" t="n">
        <v>300</v>
      </c>
      <c r="O87" s="13" t="n">
        <v>280.2216867469879</v>
      </c>
      <c r="P87" s="13" t="n">
        <v>280.2216867469879</v>
      </c>
      <c r="Q87" s="13" t="n">
        <v>280.2216867469879</v>
      </c>
      <c r="R87" s="13" t="n">
        <v>300</v>
      </c>
      <c r="S87" s="13" t="n">
        <v>300</v>
      </c>
      <c r="T87" s="13" t="n">
        <v>300</v>
      </c>
      <c r="U87" s="13" t="n">
        <v>284.1176470588235</v>
      </c>
      <c r="V87" s="13" t="n">
        <v>288.3375959079284</v>
      </c>
      <c r="W87" s="13" t="n">
        <v>291.041257367387</v>
      </c>
      <c r="X87" s="14" t="inlineStr">
        <is>
          <t>外生假设的规划日接待能力（非物理上限）</t>
        </is>
      </c>
    </row>
    <row r="88" ht="32" customHeight="1">
      <c r="B88" s="12" t="inlineStr">
        <is>
          <t>↳ 单站物理上限</t>
        </is>
      </c>
      <c r="C88" s="12" t="inlineStr">
        <is>
          <t>min(机械能力, 充电能力)</t>
        </is>
      </c>
      <c r="D88" s="12">
        <f> min[营业时长×3600÷单次换电秒数, 充电功率×时长×RTE÷(块电量×可用系数)]</f>
        <v/>
      </c>
      <c r="E88" s="12" t="inlineStr">
        <is>
          <t>次/日</t>
        </is>
      </c>
      <c r="F88" s="13" t="n">
        <v>192</v>
      </c>
      <c r="G88" s="13" t="n">
        <v>192</v>
      </c>
      <c r="H88" s="13" t="n">
        <v>192</v>
      </c>
      <c r="I88" s="13" t="n">
        <v>381.6296296296297</v>
      </c>
      <c r="J88" s="13" t="n">
        <v>381.6296296296297</v>
      </c>
      <c r="K88" s="13" t="n">
        <v>381.6296296296297</v>
      </c>
      <c r="L88" s="13" t="n">
        <v>552</v>
      </c>
      <c r="M88" s="13" t="n">
        <v>552</v>
      </c>
      <c r="N88" s="13" t="n">
        <v>552</v>
      </c>
      <c r="O88" s="13" t="n">
        <v>415.8714859437752</v>
      </c>
      <c r="P88" s="13" t="n">
        <v>415.8714859437752</v>
      </c>
      <c r="Q88" s="13" t="n">
        <v>415.8714859437752</v>
      </c>
      <c r="R88" s="13" t="n">
        <v>552</v>
      </c>
      <c r="S88" s="13" t="n">
        <v>552</v>
      </c>
      <c r="T88" s="13" t="n">
        <v>551.9999999999999</v>
      </c>
      <c r="U88" s="13" t="n">
        <v>442.686274509804</v>
      </c>
      <c r="V88" s="13" t="n">
        <v>471.7309841811121</v>
      </c>
      <c r="W88" s="13" t="n">
        <v>490.3395183002255</v>
      </c>
      <c r="X88" s="14" t="inlineStr">
        <is>
          <t>＝min(营业时长×3600÷单次换电秒数, 充电功率×时长×RTE÷(块电量×可用系数))</t>
        </is>
      </c>
    </row>
    <row r="89" ht="18" customHeight="1">
      <c r="B89" s="12" t="inlineStr">
        <is>
          <t>↳ 单站投资（万元）</t>
        </is>
      </c>
      <c r="C89" s="12" t="inlineStr">
        <is>
          <t>stations.{pool}.station_body_capex_wan</t>
        </is>
      </c>
      <c r="D89" s="12" t="inlineStr"/>
      <c r="E89" s="12" t="inlineStr">
        <is>
          <t>万元/座</t>
        </is>
      </c>
      <c r="F89" s="13" t="n">
        <v>500.0000000000001</v>
      </c>
      <c r="G89" s="13" t="n">
        <v>500.0000000000001</v>
      </c>
      <c r="H89" s="13" t="n">
        <v>500.0000000000001</v>
      </c>
      <c r="I89" s="13" t="n">
        <v>200</v>
      </c>
      <c r="J89" s="13" t="n">
        <v>200</v>
      </c>
      <c r="K89" s="13" t="n">
        <v>200</v>
      </c>
      <c r="L89" s="13" t="n">
        <v>200</v>
      </c>
      <c r="M89" s="13" t="n">
        <v>200</v>
      </c>
      <c r="N89" s="13" t="n">
        <v>200</v>
      </c>
      <c r="O89" s="13" t="n">
        <v>254.9397590361446</v>
      </c>
      <c r="P89" s="13" t="n">
        <v>254.9397590361446</v>
      </c>
      <c r="Q89" s="13" t="n">
        <v>254.9397590361446</v>
      </c>
      <c r="R89" s="13" t="n">
        <v>200</v>
      </c>
      <c r="S89" s="13" t="n">
        <v>200</v>
      </c>
      <c r="T89" s="13" t="n">
        <v>200</v>
      </c>
      <c r="U89" s="13" t="n">
        <v>244.1176470588236</v>
      </c>
      <c r="V89" s="13" t="n">
        <v>232.3955669224212</v>
      </c>
      <c r="W89" s="13" t="n">
        <v>224.8853962017027</v>
      </c>
      <c r="X89" s="14" t="inlineStr">
        <is>
          <t>站体（不含电池）单站建设投资，外生假设</t>
        </is>
      </c>
    </row>
    <row r="90" ht="18" customHeight="1">
      <c r="B90" s="12" t="inlineStr">
        <is>
          <t>↳ 单站库存块数</t>
        </is>
      </c>
      <c r="C90" s="12" t="inlineStr">
        <is>
          <t>stations.{pool}.inventory_blocks</t>
        </is>
      </c>
      <c r="D90" s="12" t="inlineStr"/>
      <c r="E90" s="12" t="inlineStr">
        <is>
          <t>块</t>
        </is>
      </c>
      <c r="F90" s="13" t="n">
        <v>24</v>
      </c>
      <c r="G90" s="13" t="n">
        <v>24</v>
      </c>
      <c r="H90" s="13" t="n">
        <v>24</v>
      </c>
      <c r="I90" s="13" t="n">
        <v>14</v>
      </c>
      <c r="J90" s="13" t="n">
        <v>14</v>
      </c>
      <c r="K90" s="13" t="n">
        <v>14</v>
      </c>
      <c r="L90" s="13" t="n">
        <v>14</v>
      </c>
      <c r="M90" s="13" t="n">
        <v>14</v>
      </c>
      <c r="N90" s="13" t="n">
        <v>14</v>
      </c>
      <c r="O90" s="13" t="n">
        <v>15.83132530120482</v>
      </c>
      <c r="P90" s="13" t="n">
        <v>15.83132530120482</v>
      </c>
      <c r="Q90" s="13" t="n">
        <v>15.83132530120482</v>
      </c>
      <c r="R90" s="13" t="n">
        <v>14</v>
      </c>
      <c r="S90" s="13" t="n">
        <v>14</v>
      </c>
      <c r="T90" s="13" t="n">
        <v>14</v>
      </c>
      <c r="U90" s="13" t="n">
        <v>15.47058823529412</v>
      </c>
      <c r="V90" s="13" t="n">
        <v>15.07985223074737</v>
      </c>
      <c r="W90" s="13" t="n">
        <v>14.82951320672342</v>
      </c>
      <c r="X90" s="14" t="inlineStr">
        <is>
          <t>单站配备周转电池块数，外生假设</t>
        </is>
      </c>
    </row>
    <row r="91" ht="32" customHeight="1">
      <c r="B91" s="12" t="inlineStr">
        <is>
          <t>↳ 单块带电量（kWh）</t>
        </is>
      </c>
      <c r="C91" s="12" t="inlineStr">
        <is>
          <t>stations.{pool}.block_kwh</t>
        </is>
      </c>
      <c r="D91" s="12" t="inlineStr"/>
      <c r="E91" s="12" t="inlineStr">
        <is>
          <t>kWh</t>
        </is>
      </c>
      <c r="F91" s="13" t="n">
        <v>171</v>
      </c>
      <c r="G91" s="13" t="n">
        <v>171</v>
      </c>
      <c r="H91" s="13" t="n">
        <v>171</v>
      </c>
      <c r="I91" s="13" t="n">
        <v>81</v>
      </c>
      <c r="J91" s="13" t="n">
        <v>81</v>
      </c>
      <c r="K91" s="13" t="n">
        <v>81</v>
      </c>
      <c r="L91" s="13" t="n">
        <v>56</v>
      </c>
      <c r="M91" s="13" t="n">
        <v>56</v>
      </c>
      <c r="N91" s="13" t="n">
        <v>56</v>
      </c>
      <c r="O91" s="13" t="n">
        <v>87.36144578313252</v>
      </c>
      <c r="P91" s="13" t="n">
        <v>87.36144578313252</v>
      </c>
      <c r="Q91" s="13" t="n">
        <v>87.36144578313252</v>
      </c>
      <c r="R91" s="13" t="n">
        <v>56</v>
      </c>
      <c r="S91" s="13" t="n">
        <v>56</v>
      </c>
      <c r="T91" s="13" t="n">
        <v>55.99999999999999</v>
      </c>
      <c r="U91" s="13" t="n">
        <v>81.18382352941178</v>
      </c>
      <c r="V91" s="13" t="n">
        <v>74.49246945154874</v>
      </c>
      <c r="W91" s="13" t="n">
        <v>70.20541366513861</v>
      </c>
      <c r="X91" s="11" t="inlineStr">
        <is>
          <t>标准电池块容量（25#56 / 35#81 / 75#171 kWh）</t>
        </is>
      </c>
    </row>
    <row r="92">
      <c r="B92" s="5" t="inlineStr">
        <is>
          <t>D. 电池与 CAPEX：装机 → 初装投资 → 全周期资本</t>
        </is>
      </c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</row>
    <row r="93" ht="18" customHeight="1">
      <c r="A93" s="7" t="n">
        <v>4</v>
      </c>
      <c r="B93" s="22" t="inlineStr">
        <is>
          <t>初装CAPEX合计（亿）</t>
        </is>
      </c>
      <c r="C93" s="9" t="inlineStr">
        <is>
          <t>capex.total_initial_capex_yi</t>
        </is>
      </c>
      <c r="D93" s="9">
        <f> 电池初装CAPEX ＋ 站体CAPEX</f>
        <v/>
      </c>
      <c r="E93" s="9" t="inlineStr">
        <is>
          <t>亿元</t>
        </is>
      </c>
      <c r="F93" s="23" t="n">
        <v>1311.179128252</v>
      </c>
      <c r="G93" s="23" t="n">
        <v>1311.179128252</v>
      </c>
      <c r="H93" s="23" t="n">
        <v>1311.179128252</v>
      </c>
      <c r="I93" s="23" t="n">
        <v>495.6135348</v>
      </c>
      <c r="J93" s="23" t="n">
        <v>495.6135348</v>
      </c>
      <c r="K93" s="23" t="n">
        <v>495.6135348</v>
      </c>
      <c r="L93" s="23" t="n">
        <v>484.7563187333343</v>
      </c>
      <c r="M93" s="23" t="n">
        <v>665.335943131511</v>
      </c>
      <c r="N93" s="23" t="n">
        <v>822.1864856762953</v>
      </c>
      <c r="O93" s="23" t="n">
        <v>2291.548981785334</v>
      </c>
      <c r="P93" s="23" t="n">
        <v>2472.128606183511</v>
      </c>
      <c r="Q93" s="23" t="n">
        <v>2628.979148728295</v>
      </c>
      <c r="R93" s="23" t="n">
        <v>41.07142484683542</v>
      </c>
      <c r="S93" s="23" t="n">
        <v>159.9509532358587</v>
      </c>
      <c r="T93" s="23" t="n">
        <v>342.8998175582744</v>
      </c>
      <c r="U93" s="23" t="n">
        <v>2332.620406632169</v>
      </c>
      <c r="V93" s="23" t="n">
        <v>2632.07955941937</v>
      </c>
      <c r="W93" s="23" t="n">
        <v>2971.87896628657</v>
      </c>
      <c r="X93" s="14" t="inlineStr">
        <is>
          <t>＝电池初装CAPEX ＋ 站体CAPEX</t>
        </is>
      </c>
    </row>
    <row r="94" ht="32" customHeight="1">
      <c r="B94" s="12" t="inlineStr">
        <is>
          <t>↳ 电池初装CAPEX（亿）</t>
        </is>
      </c>
      <c r="C94" s="12">
        <f> 电池总装机(GWh) × 电池价格 ÷ 100</f>
        <v/>
      </c>
      <c r="D94" s="12">
        <f> (装车电池 ＋ 站内周转电池) × 电池价格(元/kWh) ÷ 100</f>
        <v/>
      </c>
      <c r="E94" s="12" t="inlineStr">
        <is>
          <t>亿元</t>
        </is>
      </c>
      <c r="F94" s="13" t="n">
        <v>1131.379128252</v>
      </c>
      <c r="G94" s="13" t="n">
        <v>1131.379128252</v>
      </c>
      <c r="H94" s="13" t="n">
        <v>1131.379128252</v>
      </c>
      <c r="I94" s="13" t="n">
        <v>421.5135348</v>
      </c>
      <c r="J94" s="13" t="n">
        <v>421.5135348</v>
      </c>
      <c r="K94" s="13" t="n">
        <v>421.5135348</v>
      </c>
      <c r="L94" s="13" t="n">
        <v>411.2999750005257</v>
      </c>
      <c r="M94" s="13" t="n">
        <v>601.0989266684263</v>
      </c>
      <c r="N94" s="13" t="n">
        <v>765.9573299503975</v>
      </c>
      <c r="O94" s="13" t="n">
        <v>1964.192638052526</v>
      </c>
      <c r="P94" s="13" t="n">
        <v>2153.991589720426</v>
      </c>
      <c r="Q94" s="13" t="n">
        <v>2318.849993002397</v>
      </c>
      <c r="R94" s="13" t="n">
        <v>34.847768579644</v>
      </c>
      <c r="S94" s="13" t="n">
        <v>144.5079696989434</v>
      </c>
      <c r="T94" s="13" t="n">
        <v>319.4489732841722</v>
      </c>
      <c r="U94" s="13" t="n">
        <v>1999.04040663217</v>
      </c>
      <c r="V94" s="13" t="n">
        <v>2298.49955941937</v>
      </c>
      <c r="W94" s="13" t="n">
        <v>2638.29896628657</v>
      </c>
      <c r="X94" s="14" t="inlineStr">
        <is>
          <t>＝(装车电池 ＋ 站内周转电池)×电池价格÷100</t>
        </is>
      </c>
    </row>
    <row r="95" ht="18" customHeight="1">
      <c r="B95" s="12" t="inlineStr">
        <is>
          <t>↳ 站体CAPEX（亿）</t>
        </is>
      </c>
      <c r="C95" s="12">
        <f> 站数 × 单站投资 ÷ 1e4</f>
        <v/>
      </c>
      <c r="D95" s="12" t="inlineStr">
        <is>
          <t>站体不含电池；单站投资按万元折算为亿元</t>
        </is>
      </c>
      <c r="E95" s="12" t="inlineStr">
        <is>
          <t>亿元</t>
        </is>
      </c>
      <c r="F95" s="13" t="n">
        <v>179.8</v>
      </c>
      <c r="G95" s="13" t="n">
        <v>179.8</v>
      </c>
      <c r="H95" s="13" t="n">
        <v>179.8</v>
      </c>
      <c r="I95" s="13" t="n">
        <v>74.09999999999999</v>
      </c>
      <c r="J95" s="13" t="n">
        <v>74.09999999999999</v>
      </c>
      <c r="K95" s="13" t="n">
        <v>74.09999999999999</v>
      </c>
      <c r="L95" s="13" t="n">
        <v>73.45634373280859</v>
      </c>
      <c r="M95" s="13" t="n">
        <v>64.2370164630847</v>
      </c>
      <c r="N95" s="13" t="n">
        <v>56.2291557258978</v>
      </c>
      <c r="O95" s="13" t="n">
        <v>327.3563437328086</v>
      </c>
      <c r="P95" s="13" t="n">
        <v>318.1370164630847</v>
      </c>
      <c r="Q95" s="13" t="n">
        <v>310.1291557258978</v>
      </c>
      <c r="R95" s="13" t="n">
        <v>6.223656267191421</v>
      </c>
      <c r="S95" s="13" t="n">
        <v>15.44298353691531</v>
      </c>
      <c r="T95" s="13" t="n">
        <v>23.4508442741022</v>
      </c>
      <c r="U95" s="13" t="n">
        <v>333.58</v>
      </c>
      <c r="V95" s="13" t="n">
        <v>333.58</v>
      </c>
      <c r="W95" s="13" t="n">
        <v>333.58</v>
      </c>
      <c r="X95" s="14" t="inlineStr">
        <is>
          <t>＝站数×单站投资÷1e4</t>
        </is>
      </c>
    </row>
    <row r="96" ht="32" customHeight="1">
      <c r="B96" s="12" t="inlineStr">
        <is>
          <t>↳ 装车电池装机（GWh）</t>
        </is>
      </c>
      <c r="C96" s="12" t="inlineStr">
        <is>
          <t>scale.annual_catl_swap_gwh（累计）</t>
        </is>
      </c>
      <c r="D96" s="12">
        <f> Σ年 Σ场景 CATL换电车辆 × 背电量 ÷ 100</f>
        <v/>
      </c>
      <c r="E96" s="12" t="inlineStr">
        <is>
          <t>GWh</t>
        </is>
      </c>
      <c r="F96" s="13" t="n">
        <v>181.692801</v>
      </c>
      <c r="G96" s="13" t="n">
        <v>181.692801</v>
      </c>
      <c r="H96" s="13" t="n">
        <v>181.692801</v>
      </c>
      <c r="I96" s="13" t="n">
        <v>69.255</v>
      </c>
      <c r="J96" s="13" t="n">
        <v>69.255</v>
      </c>
      <c r="K96" s="13" t="n">
        <v>69.255</v>
      </c>
      <c r="L96" s="13" t="n">
        <v>47.0405303030303</v>
      </c>
      <c r="M96" s="13" t="n">
        <v>47.0405303030303</v>
      </c>
      <c r="N96" s="13" t="n">
        <v>47.0405303030303</v>
      </c>
      <c r="O96" s="13" t="n">
        <v>297.9883313030303</v>
      </c>
      <c r="P96" s="13" t="n">
        <v>297.9883313030303</v>
      </c>
      <c r="Q96" s="13" t="n">
        <v>297.9883313030303</v>
      </c>
      <c r="R96" s="13" t="n">
        <v>28.50624</v>
      </c>
      <c r="S96" s="13" t="n">
        <v>80.88528000000001</v>
      </c>
      <c r="T96" s="13" t="n">
        <v>140.32032</v>
      </c>
      <c r="U96" s="13" t="n">
        <v>326.4945713030303</v>
      </c>
      <c r="V96" s="13" t="n">
        <v>378.8736113030303</v>
      </c>
      <c r="W96" s="13" t="n">
        <v>438.3086513030303</v>
      </c>
      <c r="X96" s="14" t="inlineStr">
        <is>
          <t>＝Σ年 Σ场景 CATL换电车辆×背电量÷100</t>
        </is>
      </c>
    </row>
    <row r="97" ht="32" customHeight="1">
      <c r="B97" s="12" t="inlineStr">
        <is>
          <t>↳ 站内周转电池（GWh）</t>
        </is>
      </c>
      <c r="C97" s="12" t="inlineStr">
        <is>
          <t>stations × inventory_blocks × block_kwh ÷ 1e6</t>
        </is>
      </c>
      <c r="D97" s="12">
        <f> 站数 × 单站库存块数 × 单块带电量 ÷ 1e6</f>
        <v/>
      </c>
      <c r="E97" s="12" t="inlineStr">
        <is>
          <t>GWh</t>
        </is>
      </c>
      <c r="F97" s="13" t="n">
        <v>11.06998302857143</v>
      </c>
      <c r="G97" s="13" t="n">
        <v>11.06998302857143</v>
      </c>
      <c r="H97" s="13" t="n">
        <v>11.06998302857143</v>
      </c>
      <c r="I97" s="13" t="n">
        <v>4.20147</v>
      </c>
      <c r="J97" s="13" t="n">
        <v>4.20147</v>
      </c>
      <c r="K97" s="13" t="n">
        <v>4.20147</v>
      </c>
      <c r="L97" s="13" t="n">
        <v>9.370367999999999</v>
      </c>
      <c r="M97" s="13" t="n">
        <v>9.370367999999999</v>
      </c>
      <c r="N97" s="13" t="n">
        <v>9.370367999999999</v>
      </c>
      <c r="O97" s="13" t="n">
        <v>24.64182102857143</v>
      </c>
      <c r="P97" s="13" t="n">
        <v>24.64182102857143</v>
      </c>
      <c r="Q97" s="13" t="n">
        <v>24.64182102857143</v>
      </c>
      <c r="R97" s="13" t="n">
        <v>3.123456</v>
      </c>
      <c r="S97" s="13" t="n">
        <v>3.123456</v>
      </c>
      <c r="T97" s="13" t="n">
        <v>3.123456</v>
      </c>
      <c r="U97" s="13" t="n">
        <v>27.76527702857143</v>
      </c>
      <c r="V97" s="13" t="n">
        <v>27.76527702857143</v>
      </c>
      <c r="W97" s="13" t="n">
        <v>27.76527702857143</v>
      </c>
      <c r="X97" s="14" t="inlineStr">
        <is>
          <t>＝站数×单站库存块数×单块带电量÷1e6</t>
        </is>
      </c>
    </row>
    <row r="98" ht="18" customHeight="1">
      <c r="B98" s="12" t="inlineStr">
        <is>
          <t>↳ 电池价格（元/kWh）</t>
        </is>
      </c>
      <c r="C98" s="12" t="inlineStr">
        <is>
          <t>construction.battery_price_curve.base_price_rmb_kwh</t>
        </is>
      </c>
      <c r="D98" s="12" t="inlineStr"/>
      <c r="E98" s="12" t="inlineStr">
        <is>
          <t>元/kWh</t>
        </is>
      </c>
      <c r="F98" s="13" t="n">
        <v>590</v>
      </c>
      <c r="G98" s="13" t="n">
        <v>590</v>
      </c>
      <c r="H98" s="13" t="n">
        <v>590</v>
      </c>
      <c r="I98" s="13" t="n">
        <v>590</v>
      </c>
      <c r="J98" s="13" t="n">
        <v>590</v>
      </c>
      <c r="K98" s="13" t="n">
        <v>590</v>
      </c>
      <c r="L98" s="13" t="n">
        <v>590</v>
      </c>
      <c r="M98" s="13" t="n">
        <v>590</v>
      </c>
      <c r="N98" s="13" t="n">
        <v>590</v>
      </c>
      <c r="O98" s="13" t="n">
        <v>590</v>
      </c>
      <c r="P98" s="13" t="n">
        <v>590</v>
      </c>
      <c r="Q98" s="13" t="n">
        <v>590</v>
      </c>
      <c r="R98" s="13" t="n">
        <v>590</v>
      </c>
      <c r="S98" s="13" t="n">
        <v>590</v>
      </c>
      <c r="T98" s="13" t="n">
        <v>590</v>
      </c>
      <c r="U98" s="13" t="n">
        <v>590</v>
      </c>
      <c r="V98" s="13" t="n">
        <v>590</v>
      </c>
      <c r="W98" s="13" t="n">
        <v>590</v>
      </c>
      <c r="X98" s="14" t="inlineStr">
        <is>
          <t>三阶段价格曲线基年价格（平台期→快速降→慢速降），行业假设</t>
        </is>
      </c>
    </row>
    <row r="99" ht="32" customHeight="1">
      <c r="B99" s="12" t="inlineStr">
        <is>
          <t>↳ 电池寿命（年）</t>
        </is>
      </c>
      <c r="C99" s="12" t="inlineStr">
        <is>
          <t>scale.battery_pool_life_years</t>
        </is>
      </c>
      <c r="D99" s="12">
        <f> min(临界循环次数 ÷ (池均频次 × 年运营天数), 日历寿命封顶)</f>
        <v/>
      </c>
      <c r="E99" s="12" t="inlineStr">
        <is>
          <t>年</t>
        </is>
      </c>
      <c r="F99" s="13" t="n">
        <v>4.046969534323383</v>
      </c>
      <c r="G99" s="13" t="n">
        <v>4.046969534323383</v>
      </c>
      <c r="H99" s="13" t="n">
        <v>4.046969534323383</v>
      </c>
      <c r="I99" s="13" t="n">
        <v>4.848761904761903</v>
      </c>
      <c r="J99" s="13" t="n">
        <v>4.848761904761903</v>
      </c>
      <c r="K99" s="13" t="n">
        <v>4.848761904761903</v>
      </c>
      <c r="L99" s="13" t="n">
        <v>6.131464120255747</v>
      </c>
      <c r="M99" s="13" t="n">
        <v>8.931912080473603</v>
      </c>
      <c r="N99" s="13" t="n">
        <v>10</v>
      </c>
      <c r="O99" s="13" t="n">
        <v>5.221190222953802</v>
      </c>
      <c r="P99" s="13" t="n">
        <v>6.354865541788983</v>
      </c>
      <c r="Q99" s="13" t="n">
        <v>6.78724812125991</v>
      </c>
      <c r="R99" s="13" t="n">
        <v>6.131464120255745</v>
      </c>
      <c r="S99" s="13" t="n">
        <v>8.931912080473603</v>
      </c>
      <c r="T99" s="13" t="n">
        <v>10</v>
      </c>
      <c r="U99" s="13" t="n">
        <v>5.400497271609642</v>
      </c>
      <c r="V99" s="13" t="n">
        <v>7.412340734133568</v>
      </c>
      <c r="W99" s="13" t="n">
        <v>8.544758753899654</v>
      </c>
      <c r="X99" s="14" t="inlineStr">
        <is>
          <t>＝min(临界循环次数÷(池均频次×年运营天数), 日历寿命封顶)；按四物理电池池核算</t>
        </is>
      </c>
    </row>
    <row r="100" ht="32" customHeight="1">
      <c r="A100" s="7" t="n">
        <v>5</v>
      </c>
      <c r="B100" s="22" t="inlineStr">
        <is>
          <t>全周期资本基数（亿）</t>
        </is>
      </c>
      <c r="C100" s="9" t="inlineStr">
        <is>
          <t>capex.lifecycle_capital_base_yi</t>
        </is>
      </c>
      <c r="D100" s="9">
        <f> 初装CAPEX × (1 ＋ 重置现值比)（EAC 式全周期资本）</f>
        <v/>
      </c>
      <c r="E100" s="9" t="inlineStr">
        <is>
          <t>亿元</t>
        </is>
      </c>
      <c r="F100" s="23" t="n">
        <v>2534.745762808348</v>
      </c>
      <c r="G100" s="23" t="n">
        <v>2534.745762808348</v>
      </c>
      <c r="H100" s="23" t="n">
        <v>2534.745762808348</v>
      </c>
      <c r="I100" s="23" t="n">
        <v>773.756242751179</v>
      </c>
      <c r="J100" s="23" t="n">
        <v>773.756242751179</v>
      </c>
      <c r="K100" s="23" t="n">
        <v>773.756242751179</v>
      </c>
      <c r="L100" s="23" t="n">
        <v>668.9143382419082</v>
      </c>
      <c r="M100" s="23" t="n">
        <v>797.1498184762038</v>
      </c>
      <c r="N100" s="23" t="n">
        <v>973.1110035395577</v>
      </c>
      <c r="O100" s="23" t="n">
        <v>3977.416343801435</v>
      </c>
      <c r="P100" s="23" t="n">
        <v>4105.65182403573</v>
      </c>
      <c r="Q100" s="23" t="n">
        <v>4281.613009099085</v>
      </c>
      <c r="R100" s="23" t="n">
        <v>56.67438238631047</v>
      </c>
      <c r="S100" s="23" t="n">
        <v>191.6398394725802</v>
      </c>
      <c r="T100" s="23" t="n">
        <v>405.8441623534997</v>
      </c>
      <c r="U100" s="23" t="n">
        <v>4034.090726187745</v>
      </c>
      <c r="V100" s="23" t="n">
        <v>4297.29166350831</v>
      </c>
      <c r="W100" s="23" t="n">
        <v>4687.457171452584</v>
      </c>
      <c r="X100" s="14" t="inlineStr">
        <is>
          <t>＝初装CAPEX×(1＋重置现值比)（EAC 式全周期资本）</t>
        </is>
      </c>
    </row>
    <row r="101" ht="32" customHeight="1">
      <c r="B101" s="12" t="inlineStr">
        <is>
          <t>↳ 年折旧（亿）</t>
        </is>
      </c>
      <c r="C101" s="12" t="inlineStr">
        <is>
          <t>capex.mature_annual_depreciation_yi</t>
        </is>
      </c>
      <c r="D101" s="12" t="inlineStr">
        <is>
          <t>＝ 电池折旧基数 ÷ 电池寿命 ＋ 站体CAPEX ÷ 站体折旧年限</t>
        </is>
      </c>
      <c r="E101" s="12" t="inlineStr">
        <is>
          <t>亿元</t>
        </is>
      </c>
      <c r="F101" s="13" t="n">
        <v>649.1689576402139</v>
      </c>
      <c r="G101" s="13" t="n">
        <v>649.1689576402139</v>
      </c>
      <c r="H101" s="13" t="n">
        <v>649.1689576402139</v>
      </c>
      <c r="I101" s="13" t="n">
        <v>119.3614563293099</v>
      </c>
      <c r="J101" s="13" t="n">
        <v>119.3614563293099</v>
      </c>
      <c r="K101" s="13" t="n">
        <v>119.3614563293099</v>
      </c>
      <c r="L101" s="13" t="n">
        <v>80.00220645265105</v>
      </c>
      <c r="M101" s="13" t="n">
        <v>65.81058909820993</v>
      </c>
      <c r="N101" s="13" t="n">
        <v>71.50409719594599</v>
      </c>
      <c r="O101" s="13" t="n">
        <v>848.5326204221749</v>
      </c>
      <c r="P101" s="13" t="n">
        <v>834.3410030677337</v>
      </c>
      <c r="Q101" s="13" t="n">
        <v>840.0345111654698</v>
      </c>
      <c r="R101" s="13" t="n">
        <v>6.778260505168575</v>
      </c>
      <c r="S101" s="13" t="n">
        <v>15.82128031401336</v>
      </c>
      <c r="T101" s="13" t="n">
        <v>29.82138761742227</v>
      </c>
      <c r="U101" s="13" t="n">
        <v>855.3108809273434</v>
      </c>
      <c r="V101" s="13" t="n">
        <v>850.1622833817471</v>
      </c>
      <c r="W101" s="13" t="n">
        <v>869.855898782892</v>
      </c>
      <c r="X101" s="14" t="inlineStr">
        <is>
          <t>＝电池折旧基数÷电池寿命 ＋ 站体CAPEX÷站体折旧年限（会计寿命）</t>
        </is>
      </c>
    </row>
    <row r="102" ht="32" customHeight="1">
      <c r="B102" s="12" t="inlineStr">
        <is>
          <t>↳ 年资本要求 FCFF（亿）</t>
        </is>
      </c>
      <c r="C102" s="12">
        <f> 全周期资本基数 × CRF</f>
        <v/>
      </c>
      <c r="D102" s="12" t="inlineStr">
        <is>
          <t>资本端要求锚：满足期望回报所需的年度自由现金流</t>
        </is>
      </c>
      <c r="E102" s="12" t="inlineStr">
        <is>
          <t>亿元</t>
        </is>
      </c>
      <c r="F102" s="13" t="n">
        <v>380.2118644212521</v>
      </c>
      <c r="G102" s="13" t="n">
        <v>380.2118644212521</v>
      </c>
      <c r="H102" s="13" t="n">
        <v>380.2118644212521</v>
      </c>
      <c r="I102" s="13" t="n">
        <v>116.0634364126769</v>
      </c>
      <c r="J102" s="13" t="n">
        <v>116.0634364126769</v>
      </c>
      <c r="K102" s="13" t="n">
        <v>116.0634364126769</v>
      </c>
      <c r="L102" s="13" t="n">
        <v>100.3371507362862</v>
      </c>
      <c r="M102" s="13" t="n">
        <v>119.5724727714306</v>
      </c>
      <c r="N102" s="13" t="n">
        <v>145.9666505309336</v>
      </c>
      <c r="O102" s="13" t="n">
        <v>596.6124515702152</v>
      </c>
      <c r="P102" s="13" t="n">
        <v>615.8477736053595</v>
      </c>
      <c r="Q102" s="13" t="n">
        <v>642.2419513648626</v>
      </c>
      <c r="R102" s="13" t="n">
        <v>8.501157357946569</v>
      </c>
      <c r="S102" s="13" t="n">
        <v>28.74597592088703</v>
      </c>
      <c r="T102" s="13" t="n">
        <v>60.87662435302494</v>
      </c>
      <c r="U102" s="13" t="n">
        <v>605.1136089281617</v>
      </c>
      <c r="V102" s="13" t="n">
        <v>644.5937495262466</v>
      </c>
      <c r="W102" s="13" t="n">
        <v>703.1185757178876</v>
      </c>
      <c r="X102" s="14" t="inlineStr">
        <is>
          <t>＝全周期资本基数×CRF（满足 15% 回报的年度自由现金流）</t>
        </is>
      </c>
    </row>
    <row r="103" ht="46" customHeight="1">
      <c r="B103" s="12" t="inlineStr">
        <is>
          <t>↳ CRF（资本回收系数）</t>
        </is>
      </c>
      <c r="C103" s="12" t="inlineStr">
        <is>
          <t>finance.capital_recovery_factor</t>
        </is>
      </c>
      <c r="D103" s="12" t="inlineStr"/>
      <c r="E103" s="12" t="inlineStr">
        <is>
          <t>%</t>
        </is>
      </c>
      <c r="F103" s="16" t="n">
        <v>0.15</v>
      </c>
      <c r="G103" s="16" t="n">
        <v>0.15</v>
      </c>
      <c r="H103" s="16" t="n">
        <v>0.15</v>
      </c>
      <c r="I103" s="16" t="n">
        <v>0.15</v>
      </c>
      <c r="J103" s="16" t="n">
        <v>0.15</v>
      </c>
      <c r="K103" s="16" t="n">
        <v>0.15</v>
      </c>
      <c r="L103" s="16" t="n">
        <v>0.15</v>
      </c>
      <c r="M103" s="16" t="n">
        <v>0.15</v>
      </c>
      <c r="N103" s="16" t="n">
        <v>0.15</v>
      </c>
      <c r="O103" s="16" t="n">
        <v>0.15</v>
      </c>
      <c r="P103" s="16" t="n">
        <v>0.15</v>
      </c>
      <c r="Q103" s="16" t="n">
        <v>0.15</v>
      </c>
      <c r="R103" s="16" t="n">
        <v>0.15</v>
      </c>
      <c r="S103" s="16" t="n">
        <v>0.15</v>
      </c>
      <c r="T103" s="16" t="n">
        <v>0.15</v>
      </c>
      <c r="U103" s="16" t="n">
        <v>0.15</v>
      </c>
      <c r="V103" s="16" t="n">
        <v>0.15</v>
      </c>
      <c r="W103" s="16" t="n">
        <v>0.15</v>
      </c>
      <c r="X103" s="14" t="inlineStr">
        <is>
          <t>资本回收系数＝要求回报×(1+要求回报)^n÷((1+要求回报)^n−1)，与 required_return 上沿一致</t>
        </is>
      </c>
    </row>
    <row r="104" ht="18" customHeight="1">
      <c r="B104" s="12" t="inlineStr">
        <is>
          <t>↳ WACC</t>
        </is>
      </c>
      <c r="C104" s="12" t="inlineStr">
        <is>
          <t>finance.wacc</t>
        </is>
      </c>
      <c r="D104" s="12" t="inlineStr"/>
      <c r="E104" s="12" t="inlineStr">
        <is>
          <t>%</t>
        </is>
      </c>
      <c r="F104" s="16" t="n">
        <v>0.075</v>
      </c>
      <c r="G104" s="16" t="n">
        <v>0.075</v>
      </c>
      <c r="H104" s="16" t="n">
        <v>0.075</v>
      </c>
      <c r="I104" s="16" t="n">
        <v>0.075</v>
      </c>
      <c r="J104" s="16" t="n">
        <v>0.075</v>
      </c>
      <c r="K104" s="16" t="n">
        <v>0.075</v>
      </c>
      <c r="L104" s="16" t="n">
        <v>0.075</v>
      </c>
      <c r="M104" s="16" t="n">
        <v>0.075</v>
      </c>
      <c r="N104" s="16" t="n">
        <v>0.075</v>
      </c>
      <c r="O104" s="16" t="n">
        <v>0.075</v>
      </c>
      <c r="P104" s="16" t="n">
        <v>0.075</v>
      </c>
      <c r="Q104" s="16" t="n">
        <v>0.075</v>
      </c>
      <c r="R104" s="16" t="n">
        <v>0.075</v>
      </c>
      <c r="S104" s="16" t="n">
        <v>0.075</v>
      </c>
      <c r="T104" s="16" t="n">
        <v>0.075</v>
      </c>
      <c r="U104" s="16" t="n">
        <v>0.075</v>
      </c>
      <c r="V104" s="16" t="n">
        <v>0.075</v>
      </c>
      <c r="W104" s="16" t="n">
        <v>0.075</v>
      </c>
      <c r="X104" s="14" t="inlineStr">
        <is>
          <t>能源基建行业收益率 6–8% 中性中枢，经验假设</t>
        </is>
      </c>
    </row>
    <row r="105" ht="18" customHeight="1">
      <c r="B105" s="12" t="inlineStr">
        <is>
          <t>↳ 债务比例</t>
        </is>
      </c>
      <c r="C105" s="12" t="inlineStr">
        <is>
          <t>finance.debt_ratio</t>
        </is>
      </c>
      <c r="D105" s="12" t="inlineStr"/>
      <c r="E105" s="12" t="inlineStr">
        <is>
          <t>%</t>
        </is>
      </c>
      <c r="F105" s="16" t="n">
        <v>0.6</v>
      </c>
      <c r="G105" s="16" t="n">
        <v>0.6</v>
      </c>
      <c r="H105" s="16" t="n">
        <v>0.6</v>
      </c>
      <c r="I105" s="16" t="n">
        <v>0.6</v>
      </c>
      <c r="J105" s="16" t="n">
        <v>0.6</v>
      </c>
      <c r="K105" s="16" t="n">
        <v>0.6</v>
      </c>
      <c r="L105" s="16" t="n">
        <v>0.6</v>
      </c>
      <c r="M105" s="16" t="n">
        <v>0.6</v>
      </c>
      <c r="N105" s="16" t="n">
        <v>0.6</v>
      </c>
      <c r="O105" s="16" t="n">
        <v>0.6</v>
      </c>
      <c r="P105" s="16" t="n">
        <v>0.6</v>
      </c>
      <c r="Q105" s="16" t="n">
        <v>0.6</v>
      </c>
      <c r="R105" s="16" t="n">
        <v>0.6</v>
      </c>
      <c r="S105" s="16" t="n">
        <v>0.6</v>
      </c>
      <c r="T105" s="16" t="n">
        <v>0.6</v>
      </c>
      <c r="U105" s="16" t="n">
        <v>0.6</v>
      </c>
      <c r="V105" s="16" t="n">
        <v>0.6</v>
      </c>
      <c r="W105" s="16" t="n">
        <v>0.6</v>
      </c>
      <c r="X105" s="14" t="inlineStr">
        <is>
          <t>类固收项目可做到 1:1.5 杠杆，经验假设</t>
        </is>
      </c>
    </row>
    <row r="106">
      <c r="B106" s="5" t="inlineStr">
        <is>
          <t>E. 经营链：收入 → 成本 → 可交付 EBITDA</t>
        </is>
      </c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</row>
    <row r="107" ht="32" customHeight="1">
      <c r="A107" s="7" t="n">
        <v>6</v>
      </c>
      <c r="B107" s="24" t="inlineStr">
        <is>
          <t>营收合计（亿）</t>
        </is>
      </c>
      <c r="C107" s="9" t="inlineStr">
        <is>
          <t>swap.revenue_yi</t>
        </is>
      </c>
      <c r="D107" s="9">
        <f> 服务费收入 ＋ 电池租金 ＋ 峰谷套利 ＋ 辅助服务</f>
        <v/>
      </c>
      <c r="E107" s="9" t="inlineStr">
        <is>
          <t>亿元</t>
        </is>
      </c>
      <c r="F107" s="25" t="n">
        <v>443.1490735577143</v>
      </c>
      <c r="G107" s="25" t="n">
        <v>539.7086695577143</v>
      </c>
      <c r="H107" s="25" t="n">
        <v>636.2682655577144</v>
      </c>
      <c r="I107" s="25" t="n">
        <v>143.44126551</v>
      </c>
      <c r="J107" s="25" t="n">
        <v>168.65008551</v>
      </c>
      <c r="K107" s="25" t="n">
        <v>193.85890551</v>
      </c>
      <c r="L107" s="25" t="n">
        <v>128.3192566375216</v>
      </c>
      <c r="M107" s="25" t="n">
        <v>186.3556025139094</v>
      </c>
      <c r="N107" s="25" t="n">
        <v>239.3083452167889</v>
      </c>
      <c r="O107" s="25" t="n">
        <v>714.9095957052359</v>
      </c>
      <c r="P107" s="25" t="n">
        <v>894.7143575816237</v>
      </c>
      <c r="Q107" s="25" t="n">
        <v>1069.435516284503</v>
      </c>
      <c r="R107" s="25" t="n">
        <v>10.87196701047839</v>
      </c>
      <c r="S107" s="25" t="n">
        <v>44.80106113409053</v>
      </c>
      <c r="T107" s="25" t="n">
        <v>99.80556643121109</v>
      </c>
      <c r="U107" s="25" t="n">
        <v>725.7815627157144</v>
      </c>
      <c r="V107" s="25" t="n">
        <v>939.5154187157143</v>
      </c>
      <c r="W107" s="25" t="n">
        <v>1169.241082715714</v>
      </c>
      <c r="X107" s="14" t="inlineStr">
        <is>
          <t>＝服务费收入 ＋ 电池租金 ＋ 峰谷套利 ＋ 辅助服务（净额法）</t>
        </is>
      </c>
    </row>
    <row r="108" ht="18" customHeight="1">
      <c r="B108" s="12" t="inlineStr">
        <is>
          <t>↳ 换电服务费（亿）</t>
        </is>
      </c>
      <c r="C108" s="12">
        <f> 年换电量(亿度) × 度电服务费</f>
        <v/>
      </c>
      <c r="D108" s="12" t="inlineStr">
        <is>
          <t>净额法口径的服务费收入</t>
        </is>
      </c>
      <c r="E108" s="12" t="inlineStr">
        <is>
          <t>亿元</t>
        </is>
      </c>
      <c r="F108" s="13" t="n">
        <v>193.119192</v>
      </c>
      <c r="G108" s="13" t="n">
        <v>289.678788</v>
      </c>
      <c r="H108" s="13" t="n">
        <v>386.238384</v>
      </c>
      <c r="I108" s="13" t="n">
        <v>50.41764000000001</v>
      </c>
      <c r="J108" s="13" t="n">
        <v>75.62645999999999</v>
      </c>
      <c r="K108" s="13" t="n">
        <v>100.83528</v>
      </c>
      <c r="L108" s="13" t="n">
        <v>37.49695592972839</v>
      </c>
      <c r="M108" s="13" t="n">
        <v>56.27781794132127</v>
      </c>
      <c r="N108" s="13" t="n">
        <v>75.08385299433316</v>
      </c>
      <c r="O108" s="13" t="n">
        <v>281.0337879297284</v>
      </c>
      <c r="P108" s="13" t="n">
        <v>421.5830659413213</v>
      </c>
      <c r="Q108" s="13" t="n">
        <v>562.1575169943332</v>
      </c>
      <c r="R108" s="13" t="n">
        <v>3.176964070271618</v>
      </c>
      <c r="S108" s="13" t="n">
        <v>13.52954205867872</v>
      </c>
      <c r="T108" s="13" t="n">
        <v>31.31435500566686</v>
      </c>
      <c r="U108" s="13" t="n">
        <v>284.210752</v>
      </c>
      <c r="V108" s="13" t="n">
        <v>435.112608</v>
      </c>
      <c r="W108" s="13" t="n">
        <v>593.4718720000001</v>
      </c>
      <c r="X108" s="14" t="inlineStr">
        <is>
          <t>＝年换电量×度电服务费（净额法）</t>
        </is>
      </c>
    </row>
    <row r="109" ht="32" customHeight="1">
      <c r="B109" s="12" t="inlineStr">
        <is>
          <t>↳ 度电服务费（元/kWh）</t>
        </is>
      </c>
      <c r="C109" s="12" t="inlineStr">
        <is>
          <t>swap_business.service_fee_rmb_kwh</t>
        </is>
      </c>
      <c r="D109" s="12" t="inlineStr"/>
      <c r="E109" s="12" t="inlineStr">
        <is>
          <t>元/kWh</t>
        </is>
      </c>
      <c r="F109" s="13" t="n">
        <v>0.2</v>
      </c>
      <c r="G109" s="13" t="n">
        <v>0.3</v>
      </c>
      <c r="H109" s="13" t="n">
        <v>0.4</v>
      </c>
      <c r="I109" s="13" t="n">
        <v>0.2</v>
      </c>
      <c r="J109" s="13" t="n">
        <v>0.3</v>
      </c>
      <c r="K109" s="13" t="n">
        <v>0.4</v>
      </c>
      <c r="L109" s="13" t="n">
        <v>0.2</v>
      </c>
      <c r="M109" s="13" t="n">
        <v>0.3</v>
      </c>
      <c r="N109" s="13" t="n">
        <v>0.4</v>
      </c>
      <c r="O109" s="13" t="n">
        <v>0.2</v>
      </c>
      <c r="P109" s="13" t="n">
        <v>0.3</v>
      </c>
      <c r="Q109" s="13" t="n">
        <v>0.4</v>
      </c>
      <c r="R109" s="13" t="n">
        <v>0.2</v>
      </c>
      <c r="S109" s="13" t="n">
        <v>0.3</v>
      </c>
      <c r="T109" s="13" t="n">
        <v>0.4</v>
      </c>
      <c r="U109" s="13" t="n">
        <v>0.2</v>
      </c>
      <c r="V109" s="13" t="n">
        <v>0.3</v>
      </c>
      <c r="W109" s="13" t="n">
        <v>0.4</v>
      </c>
      <c r="X109" s="14" t="inlineStr">
        <is>
          <t>三情景：悲观 0.20 / 中性 0.30 / 乐观 0.40 元/kWh（CATL 公开月租/服务费）</t>
        </is>
      </c>
    </row>
    <row r="110" ht="32" customHeight="1">
      <c r="B110" s="12" t="inlineStr">
        <is>
          <t>↳ 电池租金（亿）</t>
        </is>
      </c>
      <c r="C110" s="12">
        <f> 收租装机(GWh) × 度电租金 ÷ 100</f>
        <v/>
      </c>
      <c r="D110" s="12" t="inlineStr">
        <is>
          <t>收租装机 = 装车电池 ＋ 站内电池×外部股东占比</t>
        </is>
      </c>
      <c r="E110" s="12" t="inlineStr">
        <is>
          <t>亿元</t>
        </is>
      </c>
      <c r="F110" s="13" t="n">
        <v>228.6800627657143</v>
      </c>
      <c r="G110" s="13" t="n">
        <v>228.6800627657143</v>
      </c>
      <c r="H110" s="13" t="n">
        <v>228.6800627657143</v>
      </c>
      <c r="I110" s="13" t="n">
        <v>86.1310584</v>
      </c>
      <c r="J110" s="13" t="n">
        <v>86.1310584</v>
      </c>
      <c r="K110" s="13" t="n">
        <v>86.1310584</v>
      </c>
      <c r="L110" s="13" t="n">
        <v>85.64531062490171</v>
      </c>
      <c r="M110" s="13" t="n">
        <v>125.5505459396177</v>
      </c>
      <c r="N110" s="13" t="n">
        <v>160.2616243914461</v>
      </c>
      <c r="O110" s="13" t="n">
        <v>400.456431790616</v>
      </c>
      <c r="P110" s="13" t="n">
        <v>440.361667105332</v>
      </c>
      <c r="Q110" s="13" t="n">
        <v>475.0727455571604</v>
      </c>
      <c r="R110" s="13" t="n">
        <v>7.256377695098292</v>
      </c>
      <c r="S110" s="13" t="n">
        <v>30.18314238038228</v>
      </c>
      <c r="T110" s="13" t="n">
        <v>66.83846392855392</v>
      </c>
      <c r="U110" s="13" t="n">
        <v>407.7128094857143</v>
      </c>
      <c r="V110" s="13" t="n">
        <v>470.5448094857143</v>
      </c>
      <c r="W110" s="13" t="n">
        <v>541.9112094857143</v>
      </c>
      <c r="X110" s="14" t="inlineStr">
        <is>
          <t>＝收租装机×度电租金÷100（收租装机＝装车 ＋ 站内×外部股东占比）</t>
        </is>
      </c>
    </row>
    <row r="111" ht="18" customHeight="1">
      <c r="B111" s="12" t="inlineStr">
        <is>
          <t>↳ 度电租金（元/kWh·年）</t>
        </is>
      </c>
      <c r="C111" s="12" t="inlineStr">
        <is>
          <t>swap_business.battery_rent_rmb_kwh_year</t>
        </is>
      </c>
      <c r="D111" s="12" t="inlineStr"/>
      <c r="E111" s="12" t="inlineStr">
        <is>
          <t>元/kWh·年</t>
        </is>
      </c>
      <c r="F111" s="13" t="n">
        <v>120</v>
      </c>
      <c r="G111" s="13" t="n">
        <v>120</v>
      </c>
      <c r="H111" s="13" t="n">
        <v>120</v>
      </c>
      <c r="I111" s="13" t="n">
        <v>120</v>
      </c>
      <c r="J111" s="13" t="n">
        <v>120</v>
      </c>
      <c r="K111" s="13" t="n">
        <v>120</v>
      </c>
      <c r="L111" s="13" t="n">
        <v>120</v>
      </c>
      <c r="M111" s="13" t="n">
        <v>120</v>
      </c>
      <c r="N111" s="13" t="n">
        <v>120</v>
      </c>
      <c r="O111" s="13" t="n">
        <v>120</v>
      </c>
      <c r="P111" s="13" t="n">
        <v>120</v>
      </c>
      <c r="Q111" s="13" t="n">
        <v>120</v>
      </c>
      <c r="R111" s="13" t="n">
        <v>120</v>
      </c>
      <c r="S111" s="13" t="n">
        <v>120</v>
      </c>
      <c r="T111" s="13" t="n">
        <v>120</v>
      </c>
      <c r="U111" s="13" t="n">
        <v>120</v>
      </c>
      <c r="V111" s="13" t="n">
        <v>120</v>
      </c>
      <c r="W111" s="13" t="n">
        <v>120</v>
      </c>
      <c r="X111" s="14" t="inlineStr">
        <is>
          <t>综合约 10 元/月折算的年度租金单价，经验假设</t>
        </is>
      </c>
    </row>
    <row r="112" ht="32" customHeight="1">
      <c r="B112" s="12" t="inlineStr">
        <is>
          <t>↳ 收租装机（GWh）</t>
        </is>
      </c>
      <c r="C112" s="12" t="inlineStr">
        <is>
          <t>rent_eligible_gwh</t>
        </is>
      </c>
      <c r="D112" s="12">
        <f> 装车电池 ＋ 站内外股东电池（可出租的电池资产）</f>
        <v/>
      </c>
      <c r="E112" s="12" t="inlineStr">
        <is>
          <t>GWh</t>
        </is>
      </c>
      <c r="F112" s="13" t="n">
        <v>190.5667189714286</v>
      </c>
      <c r="G112" s="13" t="n">
        <v>190.5667189714286</v>
      </c>
      <c r="H112" s="13" t="n">
        <v>190.5667189714286</v>
      </c>
      <c r="I112" s="13" t="n">
        <v>71.775882</v>
      </c>
      <c r="J112" s="13" t="n">
        <v>71.775882</v>
      </c>
      <c r="K112" s="13" t="n">
        <v>71.775882</v>
      </c>
      <c r="L112" s="13" t="n">
        <v>71.3710921874181</v>
      </c>
      <c r="M112" s="13" t="n">
        <v>104.6254549496814</v>
      </c>
      <c r="N112" s="13" t="n">
        <v>133.5513536595384</v>
      </c>
      <c r="O112" s="13" t="n">
        <v>333.7136931588467</v>
      </c>
      <c r="P112" s="13" t="n">
        <v>366.96805592111</v>
      </c>
      <c r="Q112" s="13" t="n">
        <v>395.893954630967</v>
      </c>
      <c r="R112" s="13" t="n">
        <v>6.046981412581911</v>
      </c>
      <c r="S112" s="13" t="n">
        <v>25.15261865031857</v>
      </c>
      <c r="T112" s="13" t="n">
        <v>55.6987199404616</v>
      </c>
      <c r="U112" s="13" t="n">
        <v>339.7606745714286</v>
      </c>
      <c r="V112" s="13" t="n">
        <v>392.1206745714286</v>
      </c>
      <c r="W112" s="13" t="n">
        <v>451.5926745714286</v>
      </c>
      <c r="X112" s="14" t="inlineStr">
        <is>
          <t>＝装车电池 ＋ 站内外股东电池（可出租电池资产）</t>
        </is>
      </c>
    </row>
    <row r="113" ht="32" customHeight="1">
      <c r="B113" s="12" t="inlineStr">
        <is>
          <t>↳ 峰谷套利（亿）</t>
        </is>
      </c>
      <c r="C113" s="12">
        <f> 站内周转装机 × 天数 × 峰谷价差 × RTE ÷ 100</f>
        <v/>
      </c>
      <c r="D113" s="12" t="inlineStr">
        <is>
          <t>每天只计夜间那一次谷充峰放</t>
        </is>
      </c>
      <c r="E113" s="12" t="inlineStr">
        <is>
          <t>亿元</t>
        </is>
      </c>
      <c r="F113" s="13" t="n">
        <v>19.008283392</v>
      </c>
      <c r="G113" s="13" t="n">
        <v>19.008283392</v>
      </c>
      <c r="H113" s="13" t="n">
        <v>19.008283392</v>
      </c>
      <c r="I113" s="13" t="n">
        <v>5.41149336</v>
      </c>
      <c r="J113" s="13" t="n">
        <v>5.41149336</v>
      </c>
      <c r="K113" s="13" t="n">
        <v>5.41149336</v>
      </c>
      <c r="L113" s="13" t="n">
        <v>3.708781412532013</v>
      </c>
      <c r="M113" s="13" t="n">
        <v>3.243301266414561</v>
      </c>
      <c r="N113" s="13" t="n">
        <v>2.838987580938289</v>
      </c>
      <c r="O113" s="13" t="n">
        <v>28.12855816453202</v>
      </c>
      <c r="P113" s="13" t="n">
        <v>27.66307801841456</v>
      </c>
      <c r="Q113" s="13" t="n">
        <v>27.25876433293829</v>
      </c>
      <c r="R113" s="13" t="n">
        <v>0.314229915467988</v>
      </c>
      <c r="S113" s="13" t="n">
        <v>0.7797100615854392</v>
      </c>
      <c r="T113" s="13" t="n">
        <v>1.18402374706171</v>
      </c>
      <c r="U113" s="13" t="n">
        <v>28.44278808</v>
      </c>
      <c r="V113" s="13" t="n">
        <v>28.44278808</v>
      </c>
      <c r="W113" s="13" t="n">
        <v>28.44278808</v>
      </c>
      <c r="X113" s="14" t="inlineStr">
        <is>
          <t>＝站内周转装机×天数×峰谷价差×RTE÷100（每日夜间谷充峰放一次）</t>
        </is>
      </c>
    </row>
    <row r="114" ht="32" customHeight="1">
      <c r="B114" s="12" t="inlineStr">
        <is>
          <t>↳ 辅助服务（亿）</t>
        </is>
      </c>
      <c r="C114" s="12">
        <f> 容量补偿 ＋ max(需求响应, 调频VPP)</f>
        <v/>
      </c>
      <c r="D114" s="12" t="inlineStr">
        <is>
          <t>同一调节行为不重复获利，变动收益取孰高</t>
        </is>
      </c>
      <c r="E114" s="12" t="inlineStr">
        <is>
          <t>亿元</t>
        </is>
      </c>
      <c r="F114" s="13" t="n">
        <v>2.3415354</v>
      </c>
      <c r="G114" s="13" t="n">
        <v>2.3415354</v>
      </c>
      <c r="H114" s="13" t="n">
        <v>2.3415354</v>
      </c>
      <c r="I114" s="13" t="n">
        <v>1.48107375</v>
      </c>
      <c r="J114" s="13" t="n">
        <v>1.48107375</v>
      </c>
      <c r="K114" s="13" t="n">
        <v>1.48107375</v>
      </c>
      <c r="L114" s="13" t="n">
        <v>1.468208670359512</v>
      </c>
      <c r="M114" s="13" t="n">
        <v>1.283937366555906</v>
      </c>
      <c r="N114" s="13" t="n">
        <v>1.123880250071382</v>
      </c>
      <c r="O114" s="13" t="n">
        <v>5.290817820359512</v>
      </c>
      <c r="P114" s="13" t="n">
        <v>5.106546516555905</v>
      </c>
      <c r="Q114" s="13" t="n">
        <v>4.946489400071383</v>
      </c>
      <c r="R114" s="13" t="n">
        <v>0.1243953296404885</v>
      </c>
      <c r="S114" s="13" t="n">
        <v>0.3086666334440948</v>
      </c>
      <c r="T114" s="13" t="n">
        <v>0.4687237499286178</v>
      </c>
      <c r="U114" s="13" t="n">
        <v>5.41521315</v>
      </c>
      <c r="V114" s="13" t="n">
        <v>5.41521315</v>
      </c>
      <c r="W114" s="13" t="n">
        <v>5.41521315</v>
      </c>
      <c r="X114" s="14" t="inlineStr">
        <is>
          <t>＝容量补偿 ＋ max(需求响应, 调频VPP)（变动收益取孰高）</t>
        </is>
      </c>
    </row>
    <row r="115" ht="32" customHeight="1">
      <c r="A115" s="7" t="n">
        <v>7</v>
      </c>
      <c r="B115" s="24" t="inlineStr">
        <is>
          <t>OPEX 合计（亿）</t>
        </is>
      </c>
      <c r="C115" s="9" t="inlineStr">
        <is>
          <t>swap.opex_yi</t>
        </is>
      </c>
      <c r="D115" s="9">
        <f> 充电成本 ＋ 场租 ＋ 人工 ＋ 软件 ＋ 保险 ＋ 池维护 ＋ 仓储物流</f>
        <v/>
      </c>
      <c r="E115" s="9" t="inlineStr">
        <is>
          <t>亿元</t>
        </is>
      </c>
      <c r="F115" s="25" t="n">
        <v>52.67015511999777</v>
      </c>
      <c r="G115" s="25" t="n">
        <v>52.67015511999777</v>
      </c>
      <c r="H115" s="25" t="n">
        <v>52.67015511999777</v>
      </c>
      <c r="I115" s="25" t="n">
        <v>17.49171450675605</v>
      </c>
      <c r="J115" s="25" t="n">
        <v>17.49171450675605</v>
      </c>
      <c r="K115" s="25" t="n">
        <v>17.49171450675605</v>
      </c>
      <c r="L115" s="25" t="n">
        <v>15.29670053418493</v>
      </c>
      <c r="M115" s="25" t="n">
        <v>15.2684041209174</v>
      </c>
      <c r="N115" s="25" t="n">
        <v>15.24567796595631</v>
      </c>
      <c r="O115" s="25" t="n">
        <v>85.45857016093875</v>
      </c>
      <c r="P115" s="25" t="n">
        <v>85.43027374767121</v>
      </c>
      <c r="Q115" s="25" t="n">
        <v>85.40754759271013</v>
      </c>
      <c r="R115" s="25" t="n">
        <v>1.296027018350079</v>
      </c>
      <c r="S115" s="25" t="n">
        <v>3.6706205620524</v>
      </c>
      <c r="T115" s="25" t="n">
        <v>6.358338751796086</v>
      </c>
      <c r="U115" s="25" t="n">
        <v>86.75459717928882</v>
      </c>
      <c r="V115" s="25" t="n">
        <v>89.10089430972361</v>
      </c>
      <c r="W115" s="25" t="n">
        <v>91.76588634450621</v>
      </c>
      <c r="X115" s="14" t="inlineStr">
        <is>
          <t>＝充电成本 ＋ 场租 ＋ 人工 ＋ 软件 ＋ 保险 ＋ 池维护 ＋ 仓储物流</t>
        </is>
      </c>
    </row>
    <row r="116" ht="32" customHeight="1">
      <c r="B116" s="12" t="inlineStr">
        <is>
          <t>↳ 充电成本（亿）</t>
        </is>
      </c>
      <c r="C116" s="12">
        <f> 净电量 × 谷电价</f>
        <v/>
      </c>
      <c r="D116" s="12" t="inlineStr">
        <is>
          <t>净额法：净电量 = 总充电量 − 换电量（仅 RTE 损失与厂用电）</t>
        </is>
      </c>
      <c r="E116" s="12" t="inlineStr">
        <is>
          <t>亿元</t>
        </is>
      </c>
      <c r="F116" s="13" t="n">
        <v>31.4868247826087</v>
      </c>
      <c r="G116" s="13" t="n">
        <v>31.4868247826087</v>
      </c>
      <c r="H116" s="13" t="n">
        <v>31.4868247826087</v>
      </c>
      <c r="I116" s="13" t="n">
        <v>8.220267391304347</v>
      </c>
      <c r="J116" s="13" t="n">
        <v>8.220267391304347</v>
      </c>
      <c r="K116" s="13" t="n">
        <v>8.220267391304347</v>
      </c>
      <c r="L116" s="13" t="n">
        <v>6.113634118977452</v>
      </c>
      <c r="M116" s="13" t="n">
        <v>6.117154124056665</v>
      </c>
      <c r="N116" s="13" t="n">
        <v>6.120966276711942</v>
      </c>
      <c r="O116" s="13" t="n">
        <v>45.8207262928905</v>
      </c>
      <c r="P116" s="13" t="n">
        <v>45.82424629796971</v>
      </c>
      <c r="Q116" s="13" t="n">
        <v>45.82805845062499</v>
      </c>
      <c r="R116" s="13" t="n">
        <v>0.517983272326894</v>
      </c>
      <c r="S116" s="13" t="n">
        <v>1.47060239768247</v>
      </c>
      <c r="T116" s="13" t="n">
        <v>2.552800679809798</v>
      </c>
      <c r="U116" s="13" t="n">
        <v>46.33870956521739</v>
      </c>
      <c r="V116" s="13" t="n">
        <v>47.29484869565218</v>
      </c>
      <c r="W116" s="13" t="n">
        <v>48.38085913043479</v>
      </c>
      <c r="X116" s="14" t="inlineStr">
        <is>
          <t>＝净电量×谷电价（净电量＝总充电−换电量，仅 RTE 损失与厂用电）</t>
        </is>
      </c>
    </row>
    <row r="117" ht="18" customHeight="1">
      <c r="B117" s="12" t="inlineStr">
        <is>
          <t>↳ 场租（亿）</t>
        </is>
      </c>
      <c r="C117" s="12">
        <f> 站数 × 单站年租 ÷ 1e4</f>
        <v/>
      </c>
      <c r="D117" s="12" t="inlineStr">
        <is>
          <t>站点场地租金</t>
        </is>
      </c>
      <c r="E117" s="12" t="inlineStr">
        <is>
          <t>亿元</t>
        </is>
      </c>
      <c r="F117" s="13" t="n">
        <v>5.394</v>
      </c>
      <c r="G117" s="13" t="n">
        <v>5.394</v>
      </c>
      <c r="H117" s="13" t="n">
        <v>5.394</v>
      </c>
      <c r="I117" s="13" t="n">
        <v>5.5575</v>
      </c>
      <c r="J117" s="13" t="n">
        <v>5.5575</v>
      </c>
      <c r="K117" s="13" t="n">
        <v>5.5575</v>
      </c>
      <c r="L117" s="13" t="n">
        <v>5.509225779960644</v>
      </c>
      <c r="M117" s="13" t="n">
        <v>4.817776234731352</v>
      </c>
      <c r="N117" s="13" t="n">
        <v>4.217186679442335</v>
      </c>
      <c r="O117" s="13" t="n">
        <v>16.46072577996064</v>
      </c>
      <c r="P117" s="13" t="n">
        <v>15.76927623473135</v>
      </c>
      <c r="Q117" s="13" t="n">
        <v>15.16868667944234</v>
      </c>
      <c r="R117" s="13" t="n">
        <v>0.4667742200393565</v>
      </c>
      <c r="S117" s="13" t="n">
        <v>1.158223765268648</v>
      </c>
      <c r="T117" s="13" t="n">
        <v>1.758813320557665</v>
      </c>
      <c r="U117" s="13" t="n">
        <v>16.9275</v>
      </c>
      <c r="V117" s="13" t="n">
        <v>16.9275</v>
      </c>
      <c r="W117" s="13" t="n">
        <v>16.9275</v>
      </c>
      <c r="X117" s="14" t="inlineStr">
        <is>
          <t>＝站数×单站年租÷1e4</t>
        </is>
      </c>
    </row>
    <row r="118" ht="18" customHeight="1">
      <c r="B118" s="12" t="inlineStr">
        <is>
          <t>↳ 人工（亿）</t>
        </is>
      </c>
      <c r="C118" s="12">
        <f> 站数 × 单站人工成本</f>
        <v/>
      </c>
      <c r="D118" s="12" t="inlineStr">
        <is>
          <t>重卡/乘用站分别取单站年人工</t>
        </is>
      </c>
      <c r="E118" s="12" t="inlineStr">
        <is>
          <t>亿元</t>
        </is>
      </c>
      <c r="F118" s="13" t="n">
        <v>9.666048</v>
      </c>
      <c r="G118" s="13" t="n">
        <v>9.666048</v>
      </c>
      <c r="H118" s="13" t="n">
        <v>9.666048</v>
      </c>
      <c r="I118" s="13" t="n">
        <v>0.9959040000000001</v>
      </c>
      <c r="J118" s="13" t="n">
        <v>0.9959040000000001</v>
      </c>
      <c r="K118" s="13" t="n">
        <v>0.9959040000000001</v>
      </c>
      <c r="L118" s="13" t="n">
        <v>0.9872532597689474</v>
      </c>
      <c r="M118" s="13" t="n">
        <v>0.8633455012638582</v>
      </c>
      <c r="N118" s="13" t="n">
        <v>0.7557198529560665</v>
      </c>
      <c r="O118" s="13" t="n">
        <v>11.64920525976895</v>
      </c>
      <c r="P118" s="13" t="n">
        <v>11.52529750126386</v>
      </c>
      <c r="Q118" s="13" t="n">
        <v>11.41767185295607</v>
      </c>
      <c r="R118" s="13" t="n">
        <v>0.08364594023105269</v>
      </c>
      <c r="S118" s="13" t="n">
        <v>0.2075536987361418</v>
      </c>
      <c r="T118" s="13" t="n">
        <v>0.3151793470439336</v>
      </c>
      <c r="U118" s="13" t="n">
        <v>11.7328512</v>
      </c>
      <c r="V118" s="13" t="n">
        <v>11.7328512</v>
      </c>
      <c r="W118" s="13" t="n">
        <v>11.7328512</v>
      </c>
      <c r="X118" s="14" t="inlineStr">
        <is>
          <t>＝站数×单站人工成本（重卡/乘用站分别取）</t>
        </is>
      </c>
    </row>
    <row r="119" ht="18" customHeight="1">
      <c r="B119" s="12" t="inlineStr">
        <is>
          <t>↳ 软件调度（亿）</t>
        </is>
      </c>
      <c r="C119" s="12" t="inlineStr">
        <is>
          <t>swap_business.software_opex_yi_year</t>
        </is>
      </c>
      <c r="D119" s="12" t="inlineStr"/>
      <c r="E119" s="12" t="inlineStr">
        <is>
          <t>亿元</t>
        </is>
      </c>
      <c r="F119" s="13" t="n">
        <v>0.6373061586176341</v>
      </c>
      <c r="G119" s="13" t="n">
        <v>0.6373061586176341</v>
      </c>
      <c r="H119" s="13" t="n">
        <v>0.6373061586176341</v>
      </c>
      <c r="I119" s="13" t="n">
        <v>0.6566238369517058</v>
      </c>
      <c r="J119" s="13" t="n">
        <v>0.6566238369517058</v>
      </c>
      <c r="K119" s="13" t="n">
        <v>0.6566238369517058</v>
      </c>
      <c r="L119" s="13" t="n">
        <v>0.6509201925813787</v>
      </c>
      <c r="M119" s="13" t="n">
        <v>0.5692247803552033</v>
      </c>
      <c r="N119" s="13" t="n">
        <v>0.498264561151066</v>
      </c>
      <c r="O119" s="13" t="n">
        <v>1.944850188150719</v>
      </c>
      <c r="P119" s="13" t="n">
        <v>1.863154775924543</v>
      </c>
      <c r="Q119" s="13" t="n">
        <v>1.792194556720406</v>
      </c>
      <c r="R119" s="13" t="n">
        <v>0.05514981184928153</v>
      </c>
      <c r="S119" s="13" t="n">
        <v>0.1368452240754569</v>
      </c>
      <c r="T119" s="13" t="n">
        <v>0.2078054432795942</v>
      </c>
      <c r="U119" s="13" t="n">
        <v>2</v>
      </c>
      <c r="V119" s="13" t="n">
        <v>2</v>
      </c>
      <c r="W119" s="13" t="n">
        <v>2</v>
      </c>
      <c r="X119" s="14" t="inlineStr">
        <is>
          <t>全网站点调度系统年度运维，已由 20 亿核减为 2 亿</t>
        </is>
      </c>
    </row>
    <row r="120" ht="32" customHeight="1">
      <c r="B120" s="12" t="inlineStr">
        <is>
          <t>↳ 保险＋池维护＋仓储（亿）</t>
        </is>
      </c>
      <c r="C120" s="12">
        <f> 电池资产×保险费率 ＋ 装机×维护费率 ＋ …</f>
        <v/>
      </c>
      <c r="D120" s="12" t="inlineStr"/>
      <c r="E120" s="12" t="inlineStr">
        <is>
          <t>亿元</t>
        </is>
      </c>
      <c r="F120" s="13" t="n">
        <v>5.485976178771429</v>
      </c>
      <c r="G120" s="13" t="n">
        <v>5.485976178771429</v>
      </c>
      <c r="H120" s="13" t="n">
        <v>5.485976178771429</v>
      </c>
      <c r="I120" s="13" t="n">
        <v>2.0614192785</v>
      </c>
      <c r="J120" s="13" t="n">
        <v>2.0614192785</v>
      </c>
      <c r="K120" s="13" t="n">
        <v>2.0614192785</v>
      </c>
      <c r="L120" s="13" t="n">
        <v>2.035667182896506</v>
      </c>
      <c r="M120" s="13" t="n">
        <v>2.900903480510317</v>
      </c>
      <c r="N120" s="13" t="n">
        <v>3.653540595694906</v>
      </c>
      <c r="O120" s="13" t="n">
        <v>9.583062640167935</v>
      </c>
      <c r="P120" s="13" t="n">
        <v>10.44829893778175</v>
      </c>
      <c r="Q120" s="13" t="n">
        <v>11.20093605296633</v>
      </c>
      <c r="R120" s="13" t="n">
        <v>0.1724737739034937</v>
      </c>
      <c r="S120" s="13" t="n">
        <v>0.697395476289683</v>
      </c>
      <c r="T120" s="13" t="n">
        <v>1.523739961105094</v>
      </c>
      <c r="U120" s="13" t="n">
        <v>9.755536414071429</v>
      </c>
      <c r="V120" s="13" t="n">
        <v>11.14569441407143</v>
      </c>
      <c r="W120" s="13" t="n">
        <v>12.72467601407143</v>
      </c>
      <c r="X120" s="14" t="inlineStr">
        <is>
          <t>＝电池资产×保险费率 ＋ 装机×维护费率 ＋ 仓储（蔚能实证费率）</t>
        </is>
      </c>
    </row>
    <row r="121" ht="18" customHeight="1">
      <c r="A121" s="7" t="n">
        <v>8</v>
      </c>
      <c r="B121" s="24" t="inlineStr">
        <is>
          <t>可交付 EBITDA（亿）</t>
        </is>
      </c>
      <c r="C121" s="9" t="inlineStr">
        <is>
          <t>swap.ebitda_yi</t>
        </is>
      </c>
      <c r="D121" s="9">
        <f> 营收合计 − OPEX 合计</f>
        <v/>
      </c>
      <c r="E121" s="9" t="inlineStr">
        <is>
          <t>亿元</t>
        </is>
      </c>
      <c r="F121" s="25" t="n">
        <v>390.4789184377165</v>
      </c>
      <c r="G121" s="25" t="n">
        <v>487.0385144377165</v>
      </c>
      <c r="H121" s="25" t="n">
        <v>583.5981104377165</v>
      </c>
      <c r="I121" s="25" t="n">
        <v>125.949551003244</v>
      </c>
      <c r="J121" s="25" t="n">
        <v>151.1583710032439</v>
      </c>
      <c r="K121" s="25" t="n">
        <v>176.367191003244</v>
      </c>
      <c r="L121" s="25" t="n">
        <v>113.0225561033367</v>
      </c>
      <c r="M121" s="25" t="n">
        <v>171.0871983929921</v>
      </c>
      <c r="N121" s="25" t="n">
        <v>224.0626672508326</v>
      </c>
      <c r="O121" s="25" t="n">
        <v>629.4510255442972</v>
      </c>
      <c r="P121" s="25" t="n">
        <v>809.2840838339525</v>
      </c>
      <c r="Q121" s="25" t="n">
        <v>984.027968691793</v>
      </c>
      <c r="R121" s="25" t="n">
        <v>9.575939992128307</v>
      </c>
      <c r="S121" s="25" t="n">
        <v>41.13044057203813</v>
      </c>
      <c r="T121" s="25" t="n">
        <v>93.44722767941501</v>
      </c>
      <c r="U121" s="25" t="n">
        <v>639.0269655364255</v>
      </c>
      <c r="V121" s="25" t="n">
        <v>850.4145244059906</v>
      </c>
      <c r="W121" s="25" t="n">
        <v>1077.475196371208</v>
      </c>
      <c r="X121" s="14" t="inlineStr">
        <is>
          <t>＝营收合计 − OPEX 合计</t>
        </is>
      </c>
    </row>
    <row r="122" ht="18" customHeight="1">
      <c r="B122" s="12" t="inlineStr">
        <is>
          <t>↳ EBITDA 率</t>
        </is>
      </c>
      <c r="C122" s="12">
        <f> 可交付EBITDA ÷ 营收合计</f>
        <v/>
      </c>
      <c r="D122" s="12" t="inlineStr">
        <is>
          <t>经营能力链的盈利质量</t>
        </is>
      </c>
      <c r="E122" s="12" t="inlineStr">
        <is>
          <t>%</t>
        </is>
      </c>
      <c r="F122" s="16" t="n">
        <v>0.8811457401972022</v>
      </c>
      <c r="G122" s="16" t="n">
        <v>0.9024100258327138</v>
      </c>
      <c r="H122" s="16" t="n">
        <v>0.9172202073070069</v>
      </c>
      <c r="I122" s="16" t="n">
        <v>0.8780566077372163</v>
      </c>
      <c r="J122" s="16" t="n">
        <v>0.8962839867299154</v>
      </c>
      <c r="K122" s="16" t="n">
        <v>0.9097709003321812</v>
      </c>
      <c r="L122" s="16" t="n">
        <v>0.8807918551352326</v>
      </c>
      <c r="M122" s="16" t="n">
        <v>0.9180684459444799</v>
      </c>
      <c r="N122" s="16" t="n">
        <v>0.9362927441909922</v>
      </c>
      <c r="O122" s="16" t="n">
        <v>0.8797296092548685</v>
      </c>
      <c r="P122" s="16" t="n">
        <v>0.9062246328018659</v>
      </c>
      <c r="Q122" s="16" t="n">
        <v>0.9218716644246319</v>
      </c>
      <c r="R122" s="16" t="n">
        <v>0.8807918551352325</v>
      </c>
      <c r="S122" s="16" t="n">
        <v>0.9180684459444797</v>
      </c>
      <c r="T122" s="16" t="n">
        <v>0.9362927441909923</v>
      </c>
      <c r="U122" s="16" t="n">
        <v>0.8799388519611786</v>
      </c>
      <c r="V122" s="16" t="n">
        <v>0.9110846686580565</v>
      </c>
      <c r="W122" s="16" t="n">
        <v>0.9297606026246972</v>
      </c>
      <c r="X122" s="14" t="inlineStr">
        <is>
          <t>＝可交付EBITDA÷营收合计</t>
        </is>
      </c>
    </row>
    <row r="123" ht="46" customHeight="1">
      <c r="A123" s="7" t="n">
        <v>9</v>
      </c>
      <c r="B123" s="24" t="inlineStr">
        <is>
          <t>门槛 EBITDA（亿）</t>
        </is>
      </c>
      <c r="C123" s="9" t="inlineStr">
        <is>
          <t>swap.required_ebitda_yi</t>
        </is>
      </c>
      <c r="D123" s="9" t="inlineStr">
        <is>
          <t>＝ 全周期资本基数 × EBITDA/CAPEX（满足要求回报的最低 EBITDA；全网口径，模型不按车型拆）</t>
        </is>
      </c>
      <c r="E123" s="9" t="inlineStr">
        <is>
          <t>亿元</t>
        </is>
      </c>
      <c r="F123" s="26" t="inlineStr">
        <is>
          <t>—</t>
        </is>
      </c>
      <c r="G123" s="26" t="inlineStr">
        <is>
          <t>—</t>
        </is>
      </c>
      <c r="H123" s="26" t="inlineStr">
        <is>
          <t>—</t>
        </is>
      </c>
      <c r="I123" s="26" t="inlineStr">
        <is>
          <t>—</t>
        </is>
      </c>
      <c r="J123" s="26" t="inlineStr">
        <is>
          <t>—</t>
        </is>
      </c>
      <c r="K123" s="26" t="inlineStr">
        <is>
          <t>—</t>
        </is>
      </c>
      <c r="L123" s="26" t="inlineStr">
        <is>
          <t>—</t>
        </is>
      </c>
      <c r="M123" s="26" t="inlineStr">
        <is>
          <t>—</t>
        </is>
      </c>
      <c r="N123" s="26" t="inlineStr">
        <is>
          <t>—</t>
        </is>
      </c>
      <c r="O123" s="26" t="inlineStr">
        <is>
          <t>—</t>
        </is>
      </c>
      <c r="P123" s="26" t="inlineStr">
        <is>
          <t>—</t>
        </is>
      </c>
      <c r="Q123" s="26" t="inlineStr">
        <is>
          <t>—</t>
        </is>
      </c>
      <c r="R123" s="26" t="inlineStr">
        <is>
          <t>—</t>
        </is>
      </c>
      <c r="S123" s="26" t="inlineStr">
        <is>
          <t>—</t>
        </is>
      </c>
      <c r="T123" s="26" t="inlineStr">
        <is>
          <t>—</t>
        </is>
      </c>
      <c r="U123" s="25" t="n">
        <v>521.7145182617679</v>
      </c>
      <c r="V123" s="25" t="n">
        <v>576.0709049077461</v>
      </c>
      <c r="W123" s="25" t="n">
        <v>647.5394680295529</v>
      </c>
      <c r="X123" s="14" t="inlineStr">
        <is>
          <t>＝全周期资本基数×EBITDA/CAPEX（满足要求回报最低要求，全网口径）</t>
        </is>
      </c>
    </row>
    <row r="124" ht="32" customHeight="1">
      <c r="A124" s="7" t="n">
        <v>10</v>
      </c>
      <c r="B124" s="24" t="inlineStr">
        <is>
          <t>安全边际（可交付÷门槛）</t>
        </is>
      </c>
      <c r="C124" s="9" t="inlineStr">
        <is>
          <t>swap.forward_to_required_ebitda</t>
        </is>
      </c>
      <c r="D124" s="9">
        <f> 可交付EBITDA ÷ 门槛EBITDA；&gt;1 即达标（全网口径）</f>
        <v/>
      </c>
      <c r="E124" s="9" t="inlineStr">
        <is>
          <t>倍</t>
        </is>
      </c>
      <c r="F124" s="26" t="inlineStr">
        <is>
          <t>—</t>
        </is>
      </c>
      <c r="G124" s="26" t="inlineStr">
        <is>
          <t>—</t>
        </is>
      </c>
      <c r="H124" s="26" t="inlineStr">
        <is>
          <t>—</t>
        </is>
      </c>
      <c r="I124" s="26" t="inlineStr">
        <is>
          <t>—</t>
        </is>
      </c>
      <c r="J124" s="26" t="inlineStr">
        <is>
          <t>—</t>
        </is>
      </c>
      <c r="K124" s="26" t="inlineStr">
        <is>
          <t>—</t>
        </is>
      </c>
      <c r="L124" s="26" t="inlineStr">
        <is>
          <t>—</t>
        </is>
      </c>
      <c r="M124" s="26" t="inlineStr">
        <is>
          <t>—</t>
        </is>
      </c>
      <c r="N124" s="26" t="inlineStr">
        <is>
          <t>—</t>
        </is>
      </c>
      <c r="O124" s="26" t="inlineStr">
        <is>
          <t>—</t>
        </is>
      </c>
      <c r="P124" s="26" t="inlineStr">
        <is>
          <t>—</t>
        </is>
      </c>
      <c r="Q124" s="26" t="inlineStr">
        <is>
          <t>—</t>
        </is>
      </c>
      <c r="R124" s="26" t="inlineStr">
        <is>
          <t>—</t>
        </is>
      </c>
      <c r="S124" s="26" t="inlineStr">
        <is>
          <t>—</t>
        </is>
      </c>
      <c r="T124" s="26" t="inlineStr">
        <is>
          <t>—</t>
        </is>
      </c>
      <c r="U124" s="27" t="n">
        <v>1.224859464646519</v>
      </c>
      <c r="V124" s="27" t="n">
        <v>1.476232382439413</v>
      </c>
      <c r="W124" s="27" t="n">
        <v>1.663952931934696</v>
      </c>
      <c r="X124" s="14" t="inlineStr">
        <is>
          <t>＝可交付EBITDA÷门槛EBITDA；&gt;1 即达标（全网口径）</t>
        </is>
      </c>
    </row>
    <row r="125">
      <c r="B125" s="5" t="inlineStr">
        <is>
          <t>F. 估值与决策：运营价值 → 制造增量 → 决策结论</t>
        </is>
      </c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</row>
    <row r="126" ht="18" customHeight="1">
      <c r="A126" s="7" t="n">
        <v>11</v>
      </c>
      <c r="B126" s="28" t="inlineStr">
        <is>
          <t>换电增量价值合计（亿）</t>
        </is>
      </c>
      <c r="C126" s="9" t="inlineStr">
        <is>
          <t>ledger.total_swap_increment_value_yi</t>
        </is>
      </c>
      <c r="D126" s="9">
        <f> 运营线归属价值 ＋ 制造线换电锁定毛利贡献</f>
        <v/>
      </c>
      <c r="E126" s="9" t="inlineStr">
        <is>
          <t>亿元</t>
        </is>
      </c>
      <c r="F126" s="29" t="inlineStr">
        <is>
          <t>—</t>
        </is>
      </c>
      <c r="G126" s="29" t="inlineStr">
        <is>
          <t>—</t>
        </is>
      </c>
      <c r="H126" s="29" t="inlineStr">
        <is>
          <t>—</t>
        </is>
      </c>
      <c r="I126" s="29" t="inlineStr">
        <is>
          <t>—</t>
        </is>
      </c>
      <c r="J126" s="29" t="inlineStr">
        <is>
          <t>—</t>
        </is>
      </c>
      <c r="K126" s="29" t="inlineStr">
        <is>
          <t>—</t>
        </is>
      </c>
      <c r="L126" s="29" t="inlineStr">
        <is>
          <t>—</t>
        </is>
      </c>
      <c r="M126" s="29" t="inlineStr">
        <is>
          <t>—</t>
        </is>
      </c>
      <c r="N126" s="29" t="inlineStr">
        <is>
          <t>—</t>
        </is>
      </c>
      <c r="O126" s="29" t="inlineStr">
        <is>
          <t>—</t>
        </is>
      </c>
      <c r="P126" s="29" t="inlineStr">
        <is>
          <t>—</t>
        </is>
      </c>
      <c r="Q126" s="29" t="inlineStr">
        <is>
          <t>—</t>
        </is>
      </c>
      <c r="R126" s="29" t="inlineStr">
        <is>
          <t>—</t>
        </is>
      </c>
      <c r="S126" s="29" t="inlineStr">
        <is>
          <t>—</t>
        </is>
      </c>
      <c r="T126" s="29" t="inlineStr">
        <is>
          <t>—</t>
        </is>
      </c>
      <c r="U126" s="30" t="n">
        <v>2433.019259674515</v>
      </c>
      <c r="V126" s="30" t="n">
        <v>5698.285472618864</v>
      </c>
      <c r="W126" s="30" t="n">
        <v>9559.369213725564</v>
      </c>
      <c r="X126" s="14" t="inlineStr">
        <is>
          <t>＝运营线归属价值 ＋ 制造线换电锁定毛利贡献</t>
        </is>
      </c>
    </row>
    <row r="127" ht="32" customHeight="1">
      <c r="B127" s="12" t="inlineStr">
        <is>
          <t>↳ 运营线：企业价值 EV（亿）</t>
        </is>
      </c>
      <c r="C127" s="12" t="inlineStr">
        <is>
          <t>swap.enterprise_value_yi</t>
        </is>
      </c>
      <c r="D127" s="12">
        <f> 可交付EBITDA × EV/EBITDA 倍数</f>
        <v/>
      </c>
      <c r="E127" s="12" t="inlineStr">
        <is>
          <t>亿元</t>
        </is>
      </c>
      <c r="F127" s="13" t="n">
        <v>7028.620531878897</v>
      </c>
      <c r="G127" s="13" t="n">
        <v>8766.693259878897</v>
      </c>
      <c r="H127" s="13" t="n">
        <v>10504.7659878789</v>
      </c>
      <c r="I127" s="13" t="n">
        <v>2267.091918058391</v>
      </c>
      <c r="J127" s="13" t="n">
        <v>2720.850678058391</v>
      </c>
      <c r="K127" s="13" t="n">
        <v>3174.609438058392</v>
      </c>
      <c r="L127" s="13" t="n">
        <v>2034.40600986006</v>
      </c>
      <c r="M127" s="13" t="n">
        <v>3079.569571073857</v>
      </c>
      <c r="N127" s="13" t="n">
        <v>4033.128010514986</v>
      </c>
      <c r="O127" s="13" t="n">
        <v>11330.11845979735</v>
      </c>
      <c r="P127" s="13" t="n">
        <v>14567.11350901115</v>
      </c>
      <c r="Q127" s="13" t="n">
        <v>17712.50343645227</v>
      </c>
      <c r="R127" s="13" t="n">
        <v>172.3669198583095</v>
      </c>
      <c r="S127" s="13" t="n">
        <v>740.3479302966863</v>
      </c>
      <c r="T127" s="13" t="n">
        <v>1682.05009822947</v>
      </c>
      <c r="U127" s="13" t="n">
        <v>11502.48537965566</v>
      </c>
      <c r="V127" s="13" t="n">
        <v>15307.46143930783</v>
      </c>
      <c r="W127" s="13" t="n">
        <v>19394.55353468175</v>
      </c>
      <c r="X127" s="14" t="inlineStr">
        <is>
          <t>＝可交付EBITDA×EV/EBITDA 倍数</t>
        </is>
      </c>
    </row>
    <row r="128" ht="32" customHeight="1">
      <c r="B128" s="12" t="inlineStr">
        <is>
          <t>↳ 运营线：宁德归属价值（亿）</t>
        </is>
      </c>
      <c r="C128" s="12" t="inlineStr">
        <is>
          <t>swap.catl_attributable_value_yi</t>
        </is>
      </c>
      <c r="D128" s="12" t="inlineStr">
        <is>
          <t>＝ 项目股权价值 × 建站持股比例</t>
        </is>
      </c>
      <c r="E128" s="12" t="inlineStr">
        <is>
          <t>亿元</t>
        </is>
      </c>
      <c r="F128" s="13" t="n">
        <v>2203.109229677556</v>
      </c>
      <c r="G128" s="13" t="n">
        <v>2898.338320877556</v>
      </c>
      <c r="H128" s="13" t="n">
        <v>3593.567412077556</v>
      </c>
      <c r="I128" s="13" t="n">
        <v>721.1352689630736</v>
      </c>
      <c r="J128" s="13" t="n">
        <v>902.6387729630733</v>
      </c>
      <c r="K128" s="13" t="n">
        <v>1084.142276963074</v>
      </c>
      <c r="L128" s="13" t="n">
        <v>653.2229627659663</v>
      </c>
      <c r="M128" s="13" t="n">
        <v>1040.511871995254</v>
      </c>
      <c r="N128" s="13" t="n">
        <v>1379.704563356501</v>
      </c>
      <c r="O128" s="13" t="n">
        <v>3577.467461406595</v>
      </c>
      <c r="P128" s="13" t="n">
        <v>4841.488965835883</v>
      </c>
      <c r="Q128" s="13" t="n">
        <v>6057.41425239713</v>
      </c>
      <c r="R128" s="13" t="n">
        <v>55.34491617060931</v>
      </c>
      <c r="S128" s="13" t="n">
        <v>250.1456106452553</v>
      </c>
      <c r="T128" s="13" t="n">
        <v>575.4174403269481</v>
      </c>
      <c r="U128" s="13" t="n">
        <v>3632.812377577205</v>
      </c>
      <c r="V128" s="13" t="n">
        <v>5091.634576481139</v>
      </c>
      <c r="W128" s="13" t="n">
        <v>6632.831692724078</v>
      </c>
      <c r="X128" s="14" t="inlineStr">
        <is>
          <t>＝项目股权价值×建站持股比例（config stations.*.catl_equity_share）</t>
        </is>
      </c>
    </row>
    <row r="129" ht="18" customHeight="1">
      <c r="B129" s="12" t="inlineStr">
        <is>
          <t>↳ EV/EBITDA 倍数</t>
        </is>
      </c>
      <c r="C129" s="12" t="inlineStr">
        <is>
          <t>finance.swap_ev_ebitda</t>
        </is>
      </c>
      <c r="D129" s="12" t="inlineStr"/>
      <c r="E129" s="12" t="inlineStr">
        <is>
          <t>倍</t>
        </is>
      </c>
      <c r="F129" s="19" t="n">
        <v>18</v>
      </c>
      <c r="G129" s="19" t="n">
        <v>18</v>
      </c>
      <c r="H129" s="19" t="n">
        <v>18</v>
      </c>
      <c r="I129" s="19" t="n">
        <v>18</v>
      </c>
      <c r="J129" s="19" t="n">
        <v>18</v>
      </c>
      <c r="K129" s="19" t="n">
        <v>18</v>
      </c>
      <c r="L129" s="19" t="n">
        <v>18</v>
      </c>
      <c r="M129" s="19" t="n">
        <v>18</v>
      </c>
      <c r="N129" s="19" t="n">
        <v>18</v>
      </c>
      <c r="O129" s="19" t="n">
        <v>18</v>
      </c>
      <c r="P129" s="19" t="n">
        <v>18</v>
      </c>
      <c r="Q129" s="19" t="n">
        <v>18</v>
      </c>
      <c r="R129" s="19" t="n">
        <v>18</v>
      </c>
      <c r="S129" s="19" t="n">
        <v>18</v>
      </c>
      <c r="T129" s="19" t="n">
        <v>18</v>
      </c>
      <c r="U129" s="19" t="n">
        <v>18</v>
      </c>
      <c r="V129" s="19" t="n">
        <v>18</v>
      </c>
      <c r="W129" s="19" t="n">
        <v>18</v>
      </c>
      <c r="X129" s="14" t="inlineStr">
        <is>
          <t>估值倍数中枢，行业参照</t>
        </is>
      </c>
    </row>
    <row r="130" ht="18" customHeight="1">
      <c r="B130" s="12" t="inlineStr">
        <is>
          <t>↳ 制造线：换电锁定毛利贡献（亿）</t>
        </is>
      </c>
      <c r="C130" s="12" t="inlineStr">
        <is>
          <t>ledger.manufacturing_swap_locked_volume_effect_value_yi</t>
        </is>
      </c>
      <c r="D130" s="12" t="inlineStr">
        <is>
          <t>有换电 vs 无换电的制造端净利差 × 制造PE</t>
        </is>
      </c>
      <c r="E130" s="12" t="inlineStr">
        <is>
          <t>亿元</t>
        </is>
      </c>
      <c r="F130" s="15" t="inlineStr">
        <is>
          <t>—</t>
        </is>
      </c>
      <c r="G130" s="15" t="inlineStr">
        <is>
          <t>—</t>
        </is>
      </c>
      <c r="H130" s="15" t="inlineStr">
        <is>
          <t>—</t>
        </is>
      </c>
      <c r="I130" s="15" t="inlineStr">
        <is>
          <t>—</t>
        </is>
      </c>
      <c r="J130" s="15" t="inlineStr">
        <is>
          <t>—</t>
        </is>
      </c>
      <c r="K130" s="15" t="inlineStr">
        <is>
          <t>—</t>
        </is>
      </c>
      <c r="L130" s="15" t="inlineStr">
        <is>
          <t>—</t>
        </is>
      </c>
      <c r="M130" s="15" t="inlineStr">
        <is>
          <t>—</t>
        </is>
      </c>
      <c r="N130" s="15" t="inlineStr">
        <is>
          <t>—</t>
        </is>
      </c>
      <c r="O130" s="15" t="inlineStr">
        <is>
          <t>—</t>
        </is>
      </c>
      <c r="P130" s="15" t="inlineStr">
        <is>
          <t>—</t>
        </is>
      </c>
      <c r="Q130" s="15" t="inlineStr">
        <is>
          <t>—</t>
        </is>
      </c>
      <c r="R130" s="15" t="inlineStr">
        <is>
          <t>—</t>
        </is>
      </c>
      <c r="S130" s="15" t="inlineStr">
        <is>
          <t>—</t>
        </is>
      </c>
      <c r="T130" s="15" t="inlineStr">
        <is>
          <t>—</t>
        </is>
      </c>
      <c r="U130" s="13" t="n">
        <v>958.5609460766563</v>
      </c>
      <c r="V130" s="13" t="n">
        <v>1075.535614057456</v>
      </c>
      <c r="W130" s="13" t="n">
        <v>1208.267983158256</v>
      </c>
      <c r="X130" s="14" t="inlineStr">
        <is>
          <t>＝有换电 vs 无换电制造端净利差 × 制造PE</t>
        </is>
      </c>
    </row>
    <row r="131" ht="18" customHeight="1">
      <c r="B131" s="12" t="inlineStr">
        <is>
          <t>↳ 制造线：净利率差效应（亿）</t>
        </is>
      </c>
      <c r="C131" s="12" t="inlineStr">
        <is>
          <t>ledger.manufacturing_swap_margin_effect_value_yi</t>
        </is>
      </c>
      <c r="D131" s="12" t="inlineStr"/>
      <c r="E131" s="12" t="inlineStr">
        <is>
          <t>亿元</t>
        </is>
      </c>
      <c r="F131" s="15" t="inlineStr">
        <is>
          <t>—</t>
        </is>
      </c>
      <c r="G131" s="15" t="inlineStr">
        <is>
          <t>—</t>
        </is>
      </c>
      <c r="H131" s="15" t="inlineStr">
        <is>
          <t>—</t>
        </is>
      </c>
      <c r="I131" s="15" t="inlineStr">
        <is>
          <t>—</t>
        </is>
      </c>
      <c r="J131" s="15" t="inlineStr">
        <is>
          <t>—</t>
        </is>
      </c>
      <c r="K131" s="15" t="inlineStr">
        <is>
          <t>—</t>
        </is>
      </c>
      <c r="L131" s="15" t="inlineStr">
        <is>
          <t>—</t>
        </is>
      </c>
      <c r="M131" s="15" t="inlineStr">
        <is>
          <t>—</t>
        </is>
      </c>
      <c r="N131" s="15" t="inlineStr">
        <is>
          <t>—</t>
        </is>
      </c>
      <c r="O131" s="15" t="inlineStr">
        <is>
          <t>—</t>
        </is>
      </c>
      <c r="P131" s="15" t="inlineStr">
        <is>
          <t>—</t>
        </is>
      </c>
      <c r="Q131" s="15" t="inlineStr">
        <is>
          <t>—</t>
        </is>
      </c>
      <c r="R131" s="15" t="inlineStr">
        <is>
          <t>—</t>
        </is>
      </c>
      <c r="S131" s="15" t="inlineStr">
        <is>
          <t>—</t>
        </is>
      </c>
      <c r="T131" s="15" t="inlineStr">
        <is>
          <t>—</t>
        </is>
      </c>
      <c r="U131" s="13" t="n">
        <v>0</v>
      </c>
      <c r="V131" s="13" t="n">
        <v>684.1558521852867</v>
      </c>
      <c r="W131" s="13" t="n">
        <v>1925.99843822752</v>
      </c>
      <c r="X131" s="14" t="inlineStr">
        <is>
          <t>＝有换电−无换电净利率，三档 0/1.0/2.5pct</t>
        </is>
      </c>
    </row>
    <row r="132" ht="18" customHeight="1">
      <c r="B132" s="12" t="inlineStr">
        <is>
          <t>↳ 集团市值（亿）</t>
        </is>
      </c>
      <c r="C132" s="12" t="inlineStr">
        <is>
          <t>financial_2026e.group_market_cap_ah_yi</t>
        </is>
      </c>
      <c r="D132" s="12" t="inlineStr"/>
      <c r="E132" s="12" t="inlineStr">
        <is>
          <t>亿元</t>
        </is>
      </c>
      <c r="F132" s="13" t="n">
        <v>20000</v>
      </c>
      <c r="G132" s="13" t="n">
        <v>20000</v>
      </c>
      <c r="H132" s="13" t="n">
        <v>20000</v>
      </c>
      <c r="I132" s="13" t="n">
        <v>20000</v>
      </c>
      <c r="J132" s="13" t="n">
        <v>20000</v>
      </c>
      <c r="K132" s="13" t="n">
        <v>20000</v>
      </c>
      <c r="L132" s="13" t="n">
        <v>20000</v>
      </c>
      <c r="M132" s="13" t="n">
        <v>20000</v>
      </c>
      <c r="N132" s="13" t="n">
        <v>20000</v>
      </c>
      <c r="O132" s="13" t="n">
        <v>20000</v>
      </c>
      <c r="P132" s="13" t="n">
        <v>20000</v>
      </c>
      <c r="Q132" s="13" t="n">
        <v>20000</v>
      </c>
      <c r="R132" s="13" t="n">
        <v>20000</v>
      </c>
      <c r="S132" s="13" t="n">
        <v>20000</v>
      </c>
      <c r="T132" s="13" t="n">
        <v>20000</v>
      </c>
      <c r="U132" s="13" t="n">
        <v>20000</v>
      </c>
      <c r="V132" s="13" t="n">
        <v>20000</v>
      </c>
      <c r="W132" s="13" t="n">
        <v>20000</v>
      </c>
      <c r="X132" s="14" t="inlineStr">
        <is>
          <t>A+H 总市值（估值分母）</t>
        </is>
      </c>
    </row>
    <row r="133" ht="18" customHeight="1">
      <c r="A133" s="7" t="n">
        <v>12</v>
      </c>
      <c r="B133" s="28" t="inlineStr">
        <is>
          <t>增量价值 / 集团市值</t>
        </is>
      </c>
      <c r="C133" s="9" t="inlineStr">
        <is>
          <t>ledger.attributable_swap_value_to_current_group_market_cap</t>
        </is>
      </c>
      <c r="D133" s="9">
        <f> 换电增量价值 ÷ 集团市值（决策的核心读数）</f>
        <v/>
      </c>
      <c r="E133" s="9" t="inlineStr">
        <is>
          <t>%</t>
        </is>
      </c>
      <c r="F133" s="29" t="inlineStr">
        <is>
          <t>—</t>
        </is>
      </c>
      <c r="G133" s="29" t="inlineStr">
        <is>
          <t>—</t>
        </is>
      </c>
      <c r="H133" s="29" t="inlineStr">
        <is>
          <t>—</t>
        </is>
      </c>
      <c r="I133" s="29" t="inlineStr">
        <is>
          <t>—</t>
        </is>
      </c>
      <c r="J133" s="29" t="inlineStr">
        <is>
          <t>—</t>
        </is>
      </c>
      <c r="K133" s="29" t="inlineStr">
        <is>
          <t>—</t>
        </is>
      </c>
      <c r="L133" s="29" t="inlineStr">
        <is>
          <t>—</t>
        </is>
      </c>
      <c r="M133" s="29" t="inlineStr">
        <is>
          <t>—</t>
        </is>
      </c>
      <c r="N133" s="29" t="inlineStr">
        <is>
          <t>—</t>
        </is>
      </c>
      <c r="O133" s="29" t="inlineStr">
        <is>
          <t>—</t>
        </is>
      </c>
      <c r="P133" s="29" t="inlineStr">
        <is>
          <t>—</t>
        </is>
      </c>
      <c r="Q133" s="29" t="inlineStr">
        <is>
          <t>—</t>
        </is>
      </c>
      <c r="R133" s="29" t="inlineStr">
        <is>
          <t>—</t>
        </is>
      </c>
      <c r="S133" s="29" t="inlineStr">
        <is>
          <t>—</t>
        </is>
      </c>
      <c r="T133" s="29" t="inlineStr">
        <is>
          <t>—</t>
        </is>
      </c>
      <c r="U133" s="31" t="n">
        <v>0.1216509629837257</v>
      </c>
      <c r="V133" s="31" t="n">
        <v>0.2849142736309432</v>
      </c>
      <c r="W133" s="31" t="n">
        <v>0.4779684606862782</v>
      </c>
      <c r="X133" s="14" t="inlineStr">
        <is>
          <t>＝换电增量价值÷集团市值（决策核心读数）</t>
        </is>
      </c>
    </row>
    <row r="134" ht="32" customHeight="1">
      <c r="B134" s="12" t="inlineStr">
        <is>
          <t>↳ 宁德初始权益出资（亿）</t>
        </is>
      </c>
      <c r="C134" s="12" t="inlineStr">
        <is>
          <t>swap.catl_initial_equity_investment_yi</t>
        </is>
      </c>
      <c r="D134" s="12">
        <f> 初装CAPEX × 股权比例 × CATL 权益比例</f>
        <v/>
      </c>
      <c r="E134" s="12" t="inlineStr">
        <is>
          <t>亿元</t>
        </is>
      </c>
      <c r="F134" s="13" t="n">
        <v>209.78866052032</v>
      </c>
      <c r="G134" s="13" t="n">
        <v>209.78866052032</v>
      </c>
      <c r="H134" s="13" t="n">
        <v>209.78866052032</v>
      </c>
      <c r="I134" s="13" t="n">
        <v>79.298165568</v>
      </c>
      <c r="J134" s="13" t="n">
        <v>79.298165568</v>
      </c>
      <c r="K134" s="13" t="n">
        <v>79.298165568</v>
      </c>
      <c r="L134" s="13" t="n">
        <v>77.5610109973335</v>
      </c>
      <c r="M134" s="13" t="n">
        <v>106.4537509010418</v>
      </c>
      <c r="N134" s="13" t="n">
        <v>131.5498377082072</v>
      </c>
      <c r="O134" s="13" t="n">
        <v>366.6478370856535</v>
      </c>
      <c r="P134" s="13" t="n">
        <v>395.5405769893617</v>
      </c>
      <c r="Q134" s="13" t="n">
        <v>420.6366637965272</v>
      </c>
      <c r="R134" s="13" t="n">
        <v>6.571427975493668</v>
      </c>
      <c r="S134" s="13" t="n">
        <v>25.59215251773739</v>
      </c>
      <c r="T134" s="13" t="n">
        <v>54.86397080932391</v>
      </c>
      <c r="U134" s="13" t="n">
        <v>373.2192650611472</v>
      </c>
      <c r="V134" s="13" t="n">
        <v>421.1327295070992</v>
      </c>
      <c r="W134" s="13" t="n">
        <v>475.5006346058511</v>
      </c>
      <c r="X134" s="14" t="inlineStr">
        <is>
          <t>＝初装CAPEX×股权比例×CATL 权益比例</t>
        </is>
      </c>
    </row>
    <row r="135" ht="18" customHeight="1">
      <c r="B135" s="12" t="inlineStr">
        <is>
          <t>↳ 回收期（年）</t>
        </is>
      </c>
      <c r="C135" s="12" t="inlineStr">
        <is>
          <t>swap.catl_initial_payback_years</t>
        </is>
      </c>
      <c r="D135" s="12">
        <f> 宁德初始出资 ÷ 宁德年可分现金</f>
        <v/>
      </c>
      <c r="E135" s="12" t="inlineStr">
        <is>
          <t>年</t>
        </is>
      </c>
      <c r="F135" s="13" t="n">
        <v>1.53268830816248</v>
      </c>
      <c r="G135" s="13" t="n">
        <v>1.53268830816248</v>
      </c>
      <c r="H135" s="13" t="n">
        <v>1.53268830816248</v>
      </c>
      <c r="I135" s="13" t="n">
        <v>1.897864555294818</v>
      </c>
      <c r="J135" s="13" t="n">
        <v>1.897864555294818</v>
      </c>
      <c r="K135" s="13" t="n">
        <v>1.897864555294818</v>
      </c>
      <c r="L135" s="13" t="n">
        <v>2.147233115445203</v>
      </c>
      <c r="M135" s="13" t="n">
        <v>2.473017884135098</v>
      </c>
      <c r="N135" s="13" t="n">
        <v>2.503422627887808</v>
      </c>
      <c r="O135" s="13" t="n">
        <v>1.93193810547122</v>
      </c>
      <c r="P135" s="13" t="n">
        <v>2.063822060025202</v>
      </c>
      <c r="Q135" s="13" t="n">
        <v>2.076130486411842</v>
      </c>
      <c r="R135" s="13" t="n">
        <v>2.147233115445203</v>
      </c>
      <c r="S135" s="13" t="n">
        <v>2.473017884135098</v>
      </c>
      <c r="T135" s="13" t="n">
        <v>2.503422627887808</v>
      </c>
      <c r="U135" s="13" t="n">
        <v>1.974347223147984</v>
      </c>
      <c r="V135" s="13" t="n">
        <v>2.231733048946683</v>
      </c>
      <c r="W135" s="13" t="n">
        <v>2.309877289847504</v>
      </c>
      <c r="X135" s="14" t="inlineStr">
        <is>
          <t>＝宁德初始出资÷宁德年可分现金</t>
        </is>
      </c>
    </row>
    <row r="136" ht="18" customHeight="1">
      <c r="B136" s="12" t="inlineStr">
        <is>
          <t>↳ 决策阈值：安全边际下限</t>
        </is>
      </c>
      <c r="C136" s="12" t="inlineStr">
        <is>
          <t>decision_thresholds.min_forward_to_required_ebitda</t>
        </is>
      </c>
      <c r="D136" s="12" t="inlineStr"/>
      <c r="E136" s="12" t="inlineStr">
        <is>
          <t>倍</t>
        </is>
      </c>
      <c r="F136" s="19" t="n">
        <v>1</v>
      </c>
      <c r="G136" s="19" t="n">
        <v>1</v>
      </c>
      <c r="H136" s="19" t="n">
        <v>1</v>
      </c>
      <c r="I136" s="19" t="n">
        <v>1</v>
      </c>
      <c r="J136" s="19" t="n">
        <v>1</v>
      </c>
      <c r="K136" s="19" t="n">
        <v>1</v>
      </c>
      <c r="L136" s="19" t="n">
        <v>1</v>
      </c>
      <c r="M136" s="19" t="n">
        <v>1</v>
      </c>
      <c r="N136" s="19" t="n">
        <v>1</v>
      </c>
      <c r="O136" s="19" t="n">
        <v>1</v>
      </c>
      <c r="P136" s="19" t="n">
        <v>1</v>
      </c>
      <c r="Q136" s="19" t="n">
        <v>1</v>
      </c>
      <c r="R136" s="19" t="n">
        <v>1</v>
      </c>
      <c r="S136" s="19" t="n">
        <v>1</v>
      </c>
      <c r="T136" s="19" t="n">
        <v>1</v>
      </c>
      <c r="U136" s="19" t="n">
        <v>1</v>
      </c>
      <c r="V136" s="19" t="n">
        <v>1</v>
      </c>
      <c r="W136" s="19" t="n">
        <v>1</v>
      </c>
      <c r="X136" s="14" t="inlineStr">
        <is>
          <t>安全边际下限，低于即判定不达标</t>
        </is>
      </c>
    </row>
  </sheetData>
  <mergeCells count="15">
    <mergeCell ref="A3:X3"/>
    <mergeCell ref="F11:H11"/>
    <mergeCell ref="I11:K11"/>
    <mergeCell ref="L11:N11"/>
    <mergeCell ref="R11:T11"/>
    <mergeCell ref="A4:X4"/>
    <mergeCell ref="A7:X7"/>
    <mergeCell ref="O11:Q11"/>
    <mergeCell ref="A2:X2"/>
    <mergeCell ref="A5:X5"/>
    <mergeCell ref="A1:X1"/>
    <mergeCell ref="A8:X8"/>
    <mergeCell ref="A6:X6"/>
    <mergeCell ref="U11:W11"/>
    <mergeCell ref="A9:X9"/>
  </mergeCells>
  <hyperlinks>
    <hyperlink xmlns:r="http://schemas.openxmlformats.org/officeDocument/2006/relationships" ref="X14" r:id="rId1"/>
    <hyperlink xmlns:r="http://schemas.openxmlformats.org/officeDocument/2006/relationships" ref="X16" r:id="rId2"/>
    <hyperlink xmlns:r="http://schemas.openxmlformats.org/officeDocument/2006/relationships" ref="X17" r:id="rId3"/>
    <hyperlink xmlns:r="http://schemas.openxmlformats.org/officeDocument/2006/relationships" ref="X18" r:id="rId4"/>
    <hyperlink xmlns:r="http://schemas.openxmlformats.org/officeDocument/2006/relationships" ref="X19" r:id="rId5"/>
    <hyperlink xmlns:r="http://schemas.openxmlformats.org/officeDocument/2006/relationships" ref="X20" r:id="rId6"/>
    <hyperlink xmlns:r="http://schemas.openxmlformats.org/officeDocument/2006/relationships" ref="X21" r:id="rId7"/>
    <hyperlink xmlns:r="http://schemas.openxmlformats.org/officeDocument/2006/relationships" ref="X22" r:id="rId8"/>
    <hyperlink xmlns:r="http://schemas.openxmlformats.org/officeDocument/2006/relationships" ref="X23" r:id="rId9"/>
    <hyperlink xmlns:r="http://schemas.openxmlformats.org/officeDocument/2006/relationships" ref="X25" r:id="rId10"/>
    <hyperlink xmlns:r="http://schemas.openxmlformats.org/officeDocument/2006/relationships" ref="X26" r:id="rId11"/>
    <hyperlink xmlns:r="http://schemas.openxmlformats.org/officeDocument/2006/relationships" ref="X27" r:id="rId12"/>
    <hyperlink xmlns:r="http://schemas.openxmlformats.org/officeDocument/2006/relationships" ref="X28" r:id="rId13"/>
    <hyperlink xmlns:r="http://schemas.openxmlformats.org/officeDocument/2006/relationships" ref="X29" r:id="rId14"/>
    <hyperlink xmlns:r="http://schemas.openxmlformats.org/officeDocument/2006/relationships" ref="X30" r:id="rId15"/>
    <hyperlink xmlns:r="http://schemas.openxmlformats.org/officeDocument/2006/relationships" ref="X36" r:id="rId16"/>
    <hyperlink xmlns:r="http://schemas.openxmlformats.org/officeDocument/2006/relationships" ref="X37" r:id="rId17"/>
    <hyperlink xmlns:r="http://schemas.openxmlformats.org/officeDocument/2006/relationships" ref="X38" r:id="rId18"/>
    <hyperlink xmlns:r="http://schemas.openxmlformats.org/officeDocument/2006/relationships" ref="X39" r:id="rId19"/>
    <hyperlink xmlns:r="http://schemas.openxmlformats.org/officeDocument/2006/relationships" ref="X40" r:id="rId20"/>
    <hyperlink xmlns:r="http://schemas.openxmlformats.org/officeDocument/2006/relationships" ref="X41" r:id="rId21"/>
    <hyperlink xmlns:r="http://schemas.openxmlformats.org/officeDocument/2006/relationships" ref="X42" r:id="rId22"/>
    <hyperlink xmlns:r="http://schemas.openxmlformats.org/officeDocument/2006/relationships" ref="X43" r:id="rId23"/>
    <hyperlink xmlns:r="http://schemas.openxmlformats.org/officeDocument/2006/relationships" ref="X44" r:id="rId24"/>
    <hyperlink xmlns:r="http://schemas.openxmlformats.org/officeDocument/2006/relationships" ref="X45" r:id="rId25"/>
    <hyperlink xmlns:r="http://schemas.openxmlformats.org/officeDocument/2006/relationships" ref="X46" r:id="rId26"/>
    <hyperlink xmlns:r="http://schemas.openxmlformats.org/officeDocument/2006/relationships" ref="X47" r:id="rId27"/>
    <hyperlink xmlns:r="http://schemas.openxmlformats.org/officeDocument/2006/relationships" ref="X48" r:id="rId28"/>
    <hyperlink xmlns:r="http://schemas.openxmlformats.org/officeDocument/2006/relationships" ref="X49" r:id="rId29"/>
    <hyperlink xmlns:r="http://schemas.openxmlformats.org/officeDocument/2006/relationships" ref="X50" r:id="rId30"/>
    <hyperlink xmlns:r="http://schemas.openxmlformats.org/officeDocument/2006/relationships" ref="X51" r:id="rId31"/>
    <hyperlink xmlns:r="http://schemas.openxmlformats.org/officeDocument/2006/relationships" ref="X52" r:id="rId32"/>
    <hyperlink xmlns:r="http://schemas.openxmlformats.org/officeDocument/2006/relationships" ref="X53" r:id="rId33"/>
    <hyperlink xmlns:r="http://schemas.openxmlformats.org/officeDocument/2006/relationships" ref="X54" r:id="rId34"/>
    <hyperlink xmlns:r="http://schemas.openxmlformats.org/officeDocument/2006/relationships" ref="X55" r:id="rId35"/>
    <hyperlink xmlns:r="http://schemas.openxmlformats.org/officeDocument/2006/relationships" ref="X56" r:id="rId36"/>
    <hyperlink xmlns:r="http://schemas.openxmlformats.org/officeDocument/2006/relationships" ref="X60" r:id="rId37"/>
    <hyperlink xmlns:r="http://schemas.openxmlformats.org/officeDocument/2006/relationships" ref="X61" r:id="rId38"/>
    <hyperlink xmlns:r="http://schemas.openxmlformats.org/officeDocument/2006/relationships" ref="X62" r:id="rId39"/>
    <hyperlink xmlns:r="http://schemas.openxmlformats.org/officeDocument/2006/relationships" ref="X63" r:id="rId40"/>
    <hyperlink xmlns:r="http://schemas.openxmlformats.org/officeDocument/2006/relationships" ref="X64" r:id="rId41"/>
    <hyperlink xmlns:r="http://schemas.openxmlformats.org/officeDocument/2006/relationships" ref="X65" r:id="rId42"/>
    <hyperlink xmlns:r="http://schemas.openxmlformats.org/officeDocument/2006/relationships" ref="X66" r:id="rId43"/>
    <hyperlink xmlns:r="http://schemas.openxmlformats.org/officeDocument/2006/relationships" ref="X67" r:id="rId44"/>
    <hyperlink xmlns:r="http://schemas.openxmlformats.org/officeDocument/2006/relationships" ref="X68" r:id="rId45"/>
    <hyperlink xmlns:r="http://schemas.openxmlformats.org/officeDocument/2006/relationships" ref="X69" r:id="rId46"/>
    <hyperlink xmlns:r="http://schemas.openxmlformats.org/officeDocument/2006/relationships" ref="X70" r:id="rId47"/>
    <hyperlink xmlns:r="http://schemas.openxmlformats.org/officeDocument/2006/relationships" ref="X71" r:id="rId48"/>
    <hyperlink xmlns:r="http://schemas.openxmlformats.org/officeDocument/2006/relationships" ref="X79" r:id="rId49"/>
    <hyperlink xmlns:r="http://schemas.openxmlformats.org/officeDocument/2006/relationships" ref="X91" r:id="rId5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70" customWidth="1" min="3" max="3"/>
    <col width="60" customWidth="1" min="4" max="4"/>
  </cols>
  <sheetData>
    <row r="1">
      <c r="A1" s="32" t="inlineStr">
        <is>
          <t>参数 → 信源（来自 audit/信源审计台账.md）</t>
        </is>
      </c>
    </row>
    <row r="2">
      <c r="A2" s="33" t="inlineStr">
        <is>
          <t>指标（中文）</t>
        </is>
      </c>
      <c r="B2" s="33" t="inlineStr">
        <is>
          <t>英文参数名</t>
        </is>
      </c>
      <c r="C2" s="33" t="inlineStr">
        <is>
          <t>信源（最终可用版本）</t>
        </is>
      </c>
      <c r="D2" s="33" t="inlineStr">
        <is>
          <t>链接</t>
        </is>
      </c>
    </row>
    <row r="3">
      <c r="A3" s="34" t="inlineStr">
        <is>
          <t>换电车辆（万辆）</t>
        </is>
      </c>
      <c r="B3" s="34" t="inlineStr">
        <is>
          <t>scale.operating_stock_by_vehicle_wan</t>
        </is>
      </c>
      <c r="C3" s="34" t="inlineStr">
        <is>
          <t>自下而上 5 层漏斗（保有→更新→电动化→换电渗透→CATL份额→进宁德），分项信源见下行</t>
        </is>
      </c>
      <c r="D3" s="35" t="inlineStr">
        <is>
          <t>https://www.gov.cn/zhengce/zhengceku/202606/content_7072002.htm</t>
        </is>
      </c>
    </row>
    <row r="4">
      <c r="A4" s="34" t="inlineStr">
        <is>
          <t>↳ 当年电动新增（万辆/年）</t>
        </is>
      </c>
      <c r="B4" s="34">
        <f> 营运车: 保有量÷更新周期×NEV渗透率×纯电占比 | 私家/Robotaxi: 净增×纯电占比</f>
        <v/>
      </c>
      <c r="C4" s="34" t="inlineStr">
        <is>
          <t>＝总保有÷更新周期×NEV渗透率(末年)；净增口径＝末年净增×纯电占比</t>
        </is>
      </c>
      <c r="D4" s="34" t="inlineStr"/>
    </row>
    <row r="5">
      <c r="A5" s="34" t="inlineStr">
        <is>
          <t>↳↳ 保有量（万辆）</t>
        </is>
      </c>
      <c r="B5" s="34" t="inlineStr">
        <is>
          <t>vehicles.{v}.stock_wan | operating_demand 里程池反推</t>
        </is>
      </c>
      <c r="C5" s="34" t="inlineStr">
        <is>
          <t>重卡/城配＝2030 保有假设（900/1500 万）；出租＝交通运输部公报 132.31 万；网约＝营运里程池反推；私家/Robotaxi 为净增口径、无保有量</t>
        </is>
      </c>
      <c r="D5" s="35" t="inlineStr">
        <is>
          <t>https://www.gov.cn/lianbo/202606/content_7072829.htm</t>
        </is>
      </c>
    </row>
    <row r="6">
      <c r="A6" s="34" t="inlineStr">
        <is>
          <t>↳↳ 更新周期（年）</t>
        </is>
      </c>
      <c r="B6" s="34" t="inlineStr">
        <is>
          <t>vehicles.{v}.replacement_cycle_years</t>
        </is>
      </c>
      <c r="C6" s="34" t="inlineStr">
        <is>
          <t>货车强制报废标准（15 年）→ 电动重卡取 9 年更新；城配 8 年；出租 8 年</t>
        </is>
      </c>
      <c r="D6" s="35" t="inlineStr">
        <is>
          <t>https://www.gov.cn/zhengce/zhengceku/202606/content_7072002.htm</t>
        </is>
      </c>
    </row>
    <row r="7">
      <c r="A7" s="34" t="inlineStr">
        <is>
          <t>↳↳ NEV渗透率（逐年）</t>
        </is>
      </c>
      <c r="B7" s="34" t="inlineStr">
        <is>
          <t>vehicles.{v}.nev_rates[y]（y=2026..2030）</t>
        </is>
      </c>
      <c r="C7" s="34" t="inlineStr">
        <is>
          <t>重卡 S 曲线 2026=35%→2030=50%（国泰海通/JPM）；城配 32.4%→95%；出租/网约流量口径→100%；逐年全 5 年值见明细 sheet 表B2</t>
        </is>
      </c>
      <c r="D7" s="35" t="inlineStr">
        <is>
          <t>https://www.gov.cn/zhengce/zhengceku/202606/content_7072002.htm</t>
        </is>
      </c>
    </row>
    <row r="8">
      <c r="A8" s="34" t="inlineStr">
        <is>
          <t>↳↳↳ NEV渗透率 2026</t>
        </is>
      </c>
      <c r="B8" s="34" t="inlineStr">
        <is>
          <t>vehicles.{v}.nev_rates[0]</t>
        </is>
      </c>
      <c r="C8" s="34" t="inlineStr">
        <is>
          <t>重卡 S 曲线 2026=35%→2030=50%（国泰海通/JPM）；城配 32.4%→95%；出租/网约流量口径→100%；逐年全 5 年值见明细 sheet 表B2</t>
        </is>
      </c>
      <c r="D8" s="35" t="inlineStr">
        <is>
          <t>https://www.gov.cn/zhengce/zhengceku/202606/content_7072002.htm</t>
        </is>
      </c>
    </row>
    <row r="9">
      <c r="A9" s="34" t="inlineStr">
        <is>
          <t>↳↳↳ NEV渗透率 2027</t>
        </is>
      </c>
      <c r="B9" s="34" t="inlineStr">
        <is>
          <t>vehicles.{v}.nev_rates[1]</t>
        </is>
      </c>
      <c r="C9" s="34" t="inlineStr">
        <is>
          <t>重卡 S 曲线 2026=35%→2030=50%（国泰海通/JPM）；城配 32.4%→95%；出租/网约流量口径→100%；逐年全 5 年值见明细 sheet 表B2</t>
        </is>
      </c>
      <c r="D9" s="35" t="inlineStr">
        <is>
          <t>https://www.gov.cn/zhengce/zhengceku/202606/content_7072002.htm</t>
        </is>
      </c>
    </row>
    <row r="10">
      <c r="A10" s="34" t="inlineStr">
        <is>
          <t>↳↳↳ NEV渗透率 2028</t>
        </is>
      </c>
      <c r="B10" s="34" t="inlineStr">
        <is>
          <t>vehicles.{v}.nev_rates[2]</t>
        </is>
      </c>
      <c r="C10" s="34" t="inlineStr">
        <is>
          <t>重卡 S 曲线 2026=35%→2030=50%（国泰海通/JPM）；城配 32.4%→95%；出租/网约流量口径→100%；逐年全 5 年值见明细 sheet 表B2</t>
        </is>
      </c>
      <c r="D10" s="35" t="inlineStr">
        <is>
          <t>https://www.gov.cn/zhengce/zhengceku/202606/content_7072002.htm</t>
        </is>
      </c>
    </row>
    <row r="11">
      <c r="A11" s="34" t="inlineStr">
        <is>
          <t>↳↳↳ NEV渗透率 2029</t>
        </is>
      </c>
      <c r="B11" s="34" t="inlineStr">
        <is>
          <t>vehicles.{v}.nev_rates[3]</t>
        </is>
      </c>
      <c r="C11" s="34" t="inlineStr">
        <is>
          <t>重卡 S 曲线 2026=35%→2030=50%（国泰海通/JPM）；城配 32.4%→95%；出租/网约流量口径→100%；逐年全 5 年值见明细 sheet 表B2</t>
        </is>
      </c>
      <c r="D11" s="35" t="inlineStr">
        <is>
          <t>https://www.gov.cn/zhengce/zhengceku/202606/content_7072002.htm</t>
        </is>
      </c>
    </row>
    <row r="12">
      <c r="A12" s="34" t="inlineStr">
        <is>
          <t>↳↳↳ NEV渗透率 2030</t>
        </is>
      </c>
      <c r="B12" s="34" t="inlineStr">
        <is>
          <t>vehicles.{v}.nev_rates[4]</t>
        </is>
      </c>
      <c r="C12" s="34" t="inlineStr">
        <is>
          <t>重卡 S 曲线 2026=35%→2030=50%（国泰海通/JPM）；城配 32.4%→95%；出租/网约流量口径→100%；逐年全 5 年值见明细 sheet 表B2</t>
        </is>
      </c>
      <c r="D12" s="35" t="inlineStr">
        <is>
          <t>https://www.gov.cn/zhengce/zhengceku/202606/content_7072002.htm</t>
        </is>
      </c>
    </row>
    <row r="13">
      <c r="A13" s="34" t="inlineStr">
        <is>
          <t>↳↳ 纯电占比</t>
        </is>
      </c>
      <c r="B13" s="34" t="inlineStr">
        <is>
          <t>vehicles.{v}.pure_electric_share</t>
        </is>
      </c>
      <c r="C13" s="34" t="inlineStr">
        <is>
          <t>新能源中纯电占比（剔除插混）：重卡 96%、乘用营运 100%、私家 100%</t>
        </is>
      </c>
      <c r="D13" s="34" t="inlineStr"/>
    </row>
    <row r="14">
      <c r="A14" s="34" t="inlineStr">
        <is>
          <t>↳↳ 净增（万辆/年）</t>
        </is>
      </c>
      <c r="B14" s="34" t="inlineStr">
        <is>
          <t>vehicles.{v}.annual_net_additions_wan[y]（私家/Robotaxi）</t>
        </is>
      </c>
      <c r="C14" s="34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  <c r="D14" s="35" t="inlineStr">
        <is>
          <t>https://www.iea.org/data-and-statistics/data-tools/global-ev-data-explorer</t>
        </is>
      </c>
    </row>
    <row r="15">
      <c r="A15" s="34" t="inlineStr">
        <is>
          <t>↳↳↳ 净增 2026</t>
        </is>
      </c>
      <c r="B15" s="34" t="inlineStr">
        <is>
          <t>vehicles.{v}.annual_net_additions_wan[0]</t>
        </is>
      </c>
      <c r="C15" s="34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  <c r="D15" s="35" t="inlineStr">
        <is>
          <t>https://www.iea.org/data-and-statistics/data-tools/global-ev-data-explorer</t>
        </is>
      </c>
    </row>
    <row r="16">
      <c r="A16" s="34" t="inlineStr">
        <is>
          <t>↳↳↳ 净增 2027</t>
        </is>
      </c>
      <c r="B16" s="34" t="inlineStr">
        <is>
          <t>vehicles.{v}.annual_net_additions_wan[1]</t>
        </is>
      </c>
      <c r="C16" s="34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  <c r="D16" s="35" t="inlineStr">
        <is>
          <t>https://www.iea.org/data-and-statistics/data-tools/global-ev-data-explorer</t>
        </is>
      </c>
    </row>
    <row r="17">
      <c r="A17" s="34" t="inlineStr">
        <is>
          <t>↳↳↳ 净增 2028</t>
        </is>
      </c>
      <c r="B17" s="34" t="inlineStr">
        <is>
          <t>vehicles.{v}.annual_net_additions_wan[2]</t>
        </is>
      </c>
      <c r="C17" s="34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  <c r="D17" s="35" t="inlineStr">
        <is>
          <t>https://www.iea.org/data-and-statistics/data-tools/global-ev-data-explorer</t>
        </is>
      </c>
    </row>
    <row r="18">
      <c r="A18" s="34" t="inlineStr">
        <is>
          <t>↳↳↳ 净增 2029</t>
        </is>
      </c>
      <c r="B18" s="34" t="inlineStr">
        <is>
          <t>vehicles.{v}.annual_net_additions_wan[3]</t>
        </is>
      </c>
      <c r="C18" s="34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  <c r="D18" s="35" t="inlineStr">
        <is>
          <t>https://www.iea.org/data-and-statistics/data-tools/global-ev-data-explorer</t>
        </is>
      </c>
    </row>
    <row r="19">
      <c r="A19" s="34" t="inlineStr">
        <is>
          <t>↳↳↳ 净增 2030</t>
        </is>
      </c>
      <c r="B19" s="34" t="inlineStr">
        <is>
          <t>vehicles.{v}.annual_net_additions_wan[4]</t>
        </is>
      </c>
      <c r="C19" s="34" t="inlineStr">
        <is>
          <t>私家＝累计净增口径（2026–2030 逐年 1200/1300/1600/2000/2300 万，由 IEA 2030 私家车 EV 保有 − 公安部 2025 纯电推算）；Robotaxi＝保有 50 万共识（高盛/东吴/巴克莱 30–50 万取上沿）+ 渗透爬坡（逐年 0/0/5/15/30 万）</t>
        </is>
      </c>
      <c r="D19" s="35" t="inlineStr">
        <is>
          <t>https://www.iea.org/data-and-statistics/data-tools/global-ev-data-explorer</t>
        </is>
      </c>
    </row>
    <row r="20">
      <c r="A20" s="34" t="inlineStr">
        <is>
          <t>↳↳ 当年电动新增 2026</t>
        </is>
      </c>
      <c r="B20" s="34">
        <f> 上层公式按年代入（y=2026）</f>
        <v/>
      </c>
      <c r="C20" s="34" t="inlineStr">
        <is>
          <t>＝ 上层「当年电动新增」公式按年代入：营运车 保有量÷更新周期×NEV_2026×纯电占比；私家/Robotaxi 净增_2026×纯电占比</t>
        </is>
      </c>
      <c r="D20" s="34" t="inlineStr"/>
    </row>
    <row r="21">
      <c r="A21" s="34" t="inlineStr">
        <is>
          <t>↳↳ 当年电动新增 2027</t>
        </is>
      </c>
      <c r="B21" s="34">
        <f> 上层公式按年代入（y=2027）</f>
        <v/>
      </c>
      <c r="C21" s="34" t="inlineStr">
        <is>
          <t>＝ 上层「当年电动新增」公式按年代入：营运车 保有量÷更新周期×NEV_2027×纯电占比；私家/Robotaxi 净增_2027×纯电占比</t>
        </is>
      </c>
      <c r="D21" s="34" t="inlineStr"/>
    </row>
    <row r="22">
      <c r="A22" s="34" t="inlineStr">
        <is>
          <t>↳↳ 当年电动新增 2028</t>
        </is>
      </c>
      <c r="B22" s="34">
        <f> 上层公式按年代入（y=2028）</f>
        <v/>
      </c>
      <c r="C22" s="34" t="inlineStr">
        <is>
          <t>＝ 上层「当年电动新增」公式按年代入：营运车 保有量÷更新周期×NEV_2028×纯电占比；私家/Robotaxi 净增_2028×纯电占比</t>
        </is>
      </c>
      <c r="D22" s="34" t="inlineStr"/>
    </row>
    <row r="23">
      <c r="A23" s="34" t="inlineStr">
        <is>
          <t>↳↳ 当年电动新增 2029</t>
        </is>
      </c>
      <c r="B23" s="34">
        <f> 上层公式按年代入（y=2029）</f>
        <v/>
      </c>
      <c r="C23" s="34" t="inlineStr">
        <is>
          <t>＝ 上层「当年电动新增」公式按年代入：营运车 保有量÷更新周期×NEV_2029×纯电占比；私家/Robotaxi 净增_2029×纯电占比</t>
        </is>
      </c>
      <c r="D23" s="34" t="inlineStr"/>
    </row>
    <row r="24">
      <c r="A24" s="34" t="inlineStr">
        <is>
          <t>↳↳ 当年电动新增 2030</t>
        </is>
      </c>
      <c r="B24" s="34">
        <f> 上层公式按年代入（y=2030）</f>
        <v/>
      </c>
      <c r="C24" s="34" t="inlineStr">
        <is>
          <t>＝ 上层「当年电动新增」公式按年代入：营运车 保有量÷更新周期×NEV_2030×纯电占比；私家/Robotaxi 净增_2030×纯电占比</t>
        </is>
      </c>
      <c r="D24" s="34" t="inlineStr"/>
    </row>
    <row r="25">
      <c r="A25" s="34" t="inlineStr">
        <is>
          <t>↳ 场景权重（分场景）</t>
        </is>
      </c>
      <c r="B25" s="34" t="inlineStr">
        <is>
          <t>vehicles.{v}.scenes[s].weight</t>
        </is>
      </c>
      <c r="C25" s="34" t="inlineStr">
        <is>
          <t>重卡短途38%/中途50%/长途12%（JPM 续航分布）；城配高频30%/低频70%；私家价格带 8万下12.3%/8–15万40.4%/15万+47.3%（中汽协）</t>
        </is>
      </c>
      <c r="D25" s="35" t="inlineStr">
        <is>
          <t>https://auto.cri.cn/20260211/89cb7bc0-d691-49c4-926b-fed73a9366fc.html</t>
        </is>
      </c>
    </row>
    <row r="26">
      <c r="A26" s="34" t="inlineStr">
        <is>
          <t>↳↳ 重卡·短途 场景权重</t>
        </is>
      </c>
      <c r="B26" s="34" t="inlineStr">
        <is>
          <t>scenes[].weight</t>
        </is>
      </c>
      <c r="C26" s="34" t="inlineStr">
        <is>
          <t>重卡短途38%/中途50%/长途12%（JPM 续航分布）；城配高频30%/低频70%；私家价格带 8万下12.3%/8–15万40.4%/15万+47.3%（中汽协）</t>
        </is>
      </c>
      <c r="D26" s="35" t="inlineStr">
        <is>
          <t>https://auto.cri.cn/20260211/89cb7bc0-d691-49c4-926b-fed73a9366fc.html</t>
        </is>
      </c>
    </row>
    <row r="27">
      <c r="A27" s="34" t="inlineStr">
        <is>
          <t>↳↳ 重卡·中途 场景权重</t>
        </is>
      </c>
      <c r="B27" s="34" t="inlineStr">
        <is>
          <t>scenes[].weight</t>
        </is>
      </c>
      <c r="C27" s="34" t="inlineStr">
        <is>
          <t>重卡短途38%/中途50%/长途12%（JPM 续航分布）；城配高频30%/低频70%；私家价格带 8万下12.3%/8–15万40.4%/15万+47.3%（中汽协）</t>
        </is>
      </c>
      <c r="D27" s="35" t="inlineStr">
        <is>
          <t>https://auto.cri.cn/20260211/89cb7bc0-d691-49c4-926b-fed73a9366fc.html</t>
        </is>
      </c>
    </row>
    <row r="28">
      <c r="A28" s="34" t="inlineStr">
        <is>
          <t>↳↳ 重卡·长途 场景权重</t>
        </is>
      </c>
      <c r="B28" s="34" t="inlineStr">
        <is>
          <t>scenes[].weight</t>
        </is>
      </c>
      <c r="C28" s="34" t="inlineStr">
        <is>
          <t>重卡短途38%/中途50%/长途12%（JPM 续航分布）；城配高频30%/低频70%；私家价格带 8万下12.3%/8–15万40.4%/15万+47.3%（中汽协）</t>
        </is>
      </c>
      <c r="D28" s="35" t="inlineStr">
        <is>
          <t>https://auto.cri.cn/20260211/89cb7bc0-d691-49c4-926b-fed73a9366fc.html</t>
        </is>
      </c>
    </row>
    <row r="29">
      <c r="A29" s="34" t="inlineStr">
        <is>
          <t>↳↳ 城配物流·高频 场景权重</t>
        </is>
      </c>
      <c r="B29" s="34" t="inlineStr">
        <is>
          <t>scenes[].weight</t>
        </is>
      </c>
      <c r="C29" s="34" t="inlineStr">
        <is>
          <t>重卡短途38%/中途50%/长途12%（JPM 续航分布）；城配高频30%/低频70%；私家价格带 8万下12.3%/8–15万40.4%/15万+47.3%（中汽协）</t>
        </is>
      </c>
      <c r="D29" s="35" t="inlineStr">
        <is>
          <t>https://auto.cri.cn/20260211/89cb7bc0-d691-49c4-926b-fed73a9366fc.html</t>
        </is>
      </c>
    </row>
    <row r="30">
      <c r="A30" s="34" t="inlineStr">
        <is>
          <t>↳↳ 城配物流·低频 场景权重</t>
        </is>
      </c>
      <c r="B30" s="34" t="inlineStr">
        <is>
          <t>scenes[].weight</t>
        </is>
      </c>
      <c r="C30" s="34" t="inlineStr">
        <is>
          <t>重卡短途38%/中途50%/长途12%（JPM 续航分布）；城配高频30%/低频70%；私家价格带 8万下12.3%/8–15万40.4%/15万+47.3%（中汽协）</t>
        </is>
      </c>
      <c r="D30" s="35" t="inlineStr">
        <is>
          <t>https://auto.cri.cn/20260211/89cb7bc0-d691-49c4-926b-fed73a9366fc.html</t>
        </is>
      </c>
    </row>
    <row r="31">
      <c r="A31" s="34" t="inlineStr">
        <is>
          <t>↳↳ 出租车·出租车 场景权重</t>
        </is>
      </c>
      <c r="B31" s="34" t="inlineStr">
        <is>
          <t>scenes[].weight</t>
        </is>
      </c>
      <c r="C31" s="34" t="inlineStr">
        <is>
          <t>重卡短途38%/中途50%/长途12%（JPM 续航分布）；城配高频30%/低频70%；私家价格带 8万下12.3%/8–15万40.4%/15万+47.3%（中汽协）</t>
        </is>
      </c>
      <c r="D31" s="35" t="inlineStr">
        <is>
          <t>https://auto.cri.cn/20260211/89cb7bc0-d691-49c4-926b-fed73a9366fc.html</t>
        </is>
      </c>
    </row>
    <row r="32">
      <c r="A32" s="34" t="inlineStr">
        <is>
          <t>↳↳ 网约车·网约车 场景权重</t>
        </is>
      </c>
      <c r="B32" s="34" t="inlineStr">
        <is>
          <t>scenes[].weight</t>
        </is>
      </c>
      <c r="C32" s="34" t="inlineStr">
        <is>
          <t>重卡短途38%/中途50%/长途12%（JPM 续航分布）；城配高频30%/低频70%；私家价格带 8万下12.3%/8–15万40.4%/15万+47.3%（中汽协）</t>
        </is>
      </c>
      <c r="D32" s="35" t="inlineStr">
        <is>
          <t>https://auto.cri.cn/20260211/89cb7bc0-d691-49c4-926b-fed73a9366fc.html</t>
        </is>
      </c>
    </row>
    <row r="33">
      <c r="A33" s="34" t="inlineStr">
        <is>
          <t>↳↳ Robotaxi·Robotaxi 场景权重</t>
        </is>
      </c>
      <c r="B33" s="34" t="inlineStr">
        <is>
          <t>scenes[].weight</t>
        </is>
      </c>
      <c r="C33" s="34" t="inlineStr">
        <is>
          <t>重卡短途38%/中途50%/长途12%（JPM 续航分布）；城配高频30%/低频70%；私家价格带 8万下12.3%/8–15万40.4%/15万+47.3%（中汽协）</t>
        </is>
      </c>
      <c r="D33" s="35" t="inlineStr">
        <is>
          <t>https://auto.cri.cn/20260211/89cb7bc0-d691-49c4-926b-fed73a9366fc.html</t>
        </is>
      </c>
    </row>
    <row r="34">
      <c r="A34" s="34" t="inlineStr">
        <is>
          <t>↳↳ 私家车·8万元以下 场景权重</t>
        </is>
      </c>
      <c r="B34" s="34" t="inlineStr">
        <is>
          <t>scenes[].weight</t>
        </is>
      </c>
      <c r="C34" s="34" t="inlineStr">
        <is>
          <t>重卡短途38%/中途50%/长途12%（JPM 续航分布）；城配高频30%/低频70%；私家价格带 8万下12.3%/8–15万40.4%/15万+47.3%（中汽协）</t>
        </is>
      </c>
      <c r="D34" s="35" t="inlineStr">
        <is>
          <t>https://auto.cri.cn/20260211/89cb7bc0-d691-49c4-926b-fed73a9366fc.html</t>
        </is>
      </c>
    </row>
    <row r="35">
      <c r="A35" s="34" t="inlineStr">
        <is>
          <t>↳↳ 私家车·8至15万元 场景权重</t>
        </is>
      </c>
      <c r="B35" s="34" t="inlineStr">
        <is>
          <t>scenes[].weight</t>
        </is>
      </c>
      <c r="C35" s="34" t="inlineStr">
        <is>
          <t>重卡短途38%/中途50%/长途12%（JPM 续航分布）；城配高频30%/低频70%；私家价格带 8万下12.3%/8–15万40.4%/15万+47.3%（中汽协）</t>
        </is>
      </c>
      <c r="D35" s="35" t="inlineStr">
        <is>
          <t>https://auto.cri.cn/20260211/89cb7bc0-d691-49c4-926b-fed73a9366fc.html</t>
        </is>
      </c>
    </row>
    <row r="36">
      <c r="A36" s="34" t="inlineStr">
        <is>
          <t>↳↳ 私家车·15万元以上 场景权重</t>
        </is>
      </c>
      <c r="B36" s="34" t="inlineStr">
        <is>
          <t>scenes[].weight</t>
        </is>
      </c>
      <c r="C36" s="34" t="inlineStr">
        <is>
          <t>重卡短途38%/中途50%/长途12%（JPM 续航分布）；城配高频30%/低频70%；私家价格带 8万下12.3%/8–15万40.4%/15万+47.3%（中汽协）</t>
        </is>
      </c>
      <c r="D36" s="35" t="inlineStr">
        <is>
          <t>https://auto.cri.cn/20260211/89cb7bc0-d691-49c4-926b-fed73a9366fc.html</t>
        </is>
      </c>
    </row>
    <row r="37">
      <c r="A37" s="34" t="inlineStr">
        <is>
          <t>↳ 换电渗透率（分场景）</t>
        </is>
      </c>
      <c r="B37" s="34" t="inlineStr">
        <is>
          <t>vehicles.{v}.scenes[s].swap_penetration｜ private: scenario_swap_penetration.{保守/中枢/激进}[价格带]</t>
        </is>
      </c>
      <c r="C37" s="34" t="inlineStr">
        <is>
          <t>重卡分场景 30/50/70%（JPM 续航分布 + 极兔 5000 台订单实证）；城配高频 50%；出租/网约 50%；Robotaxi 100%；私家分档</t>
        </is>
      </c>
      <c r="D37" s="35" t="inlineStr">
        <is>
          <t>https://m.10jqka.com.cn/20260702/c677904714.shtml</t>
        </is>
      </c>
    </row>
    <row r="38">
      <c r="A38" s="34" t="inlineStr">
        <is>
          <t>↳↳ 重卡·短途 换电渗透率</t>
        </is>
      </c>
      <c r="B38" s="34" t="inlineStr">
        <is>
          <t>scenes[].swap_penetration</t>
        </is>
      </c>
      <c r="C38" s="34" t="inlineStr">
        <is>
          <t>重卡分场景 30/50/70%（JPM 续航分布 + 极兔 5000 台订单实证）；城配高频 50%；出租/网约 50%；Robotaxi 100%；私家分档</t>
        </is>
      </c>
      <c r="D38" s="35" t="inlineStr">
        <is>
          <t>https://m.10jqka.com.cn/20260702/c677904714.shtml</t>
        </is>
      </c>
    </row>
    <row r="39">
      <c r="A39" s="34" t="inlineStr">
        <is>
          <t>↳↳ 重卡·中途 换电渗透率</t>
        </is>
      </c>
      <c r="B39" s="34" t="inlineStr">
        <is>
          <t>scenes[].swap_penetration</t>
        </is>
      </c>
      <c r="C39" s="34" t="inlineStr">
        <is>
          <t>重卡分场景 30/50/70%（JPM 续航分布 + 极兔 5000 台订单实证）；城配高频 50%；出租/网约 50%；Robotaxi 100%；私家分档</t>
        </is>
      </c>
      <c r="D39" s="35" t="inlineStr">
        <is>
          <t>https://m.10jqka.com.cn/20260702/c677904714.shtml</t>
        </is>
      </c>
    </row>
    <row r="40">
      <c r="A40" s="34" t="inlineStr">
        <is>
          <t>↳↳ 重卡·长途 换电渗透率</t>
        </is>
      </c>
      <c r="B40" s="34" t="inlineStr">
        <is>
          <t>scenes[].swap_penetration</t>
        </is>
      </c>
      <c r="C40" s="34" t="inlineStr">
        <is>
          <t>重卡分场景 30/50/70%（JPM 续航分布 + 极兔 5000 台订单实证）；城配高频 50%；出租/网约 50%；Robotaxi 100%；私家分档</t>
        </is>
      </c>
      <c r="D40" s="35" t="inlineStr">
        <is>
          <t>https://m.10jqka.com.cn/20260702/c677904714.shtml</t>
        </is>
      </c>
    </row>
    <row r="41">
      <c r="A41" s="34" t="inlineStr">
        <is>
          <t>↳↳ 城配物流·高频 换电渗透率</t>
        </is>
      </c>
      <c r="B41" s="34" t="inlineStr">
        <is>
          <t>scenes[].swap_penetration</t>
        </is>
      </c>
      <c r="C41" s="34" t="inlineStr">
        <is>
          <t>重卡分场景 30/50/70%（JPM 续航分布 + 极兔 5000 台订单实证）；城配高频 50%；出租/网约 50%；Robotaxi 100%；私家分档</t>
        </is>
      </c>
      <c r="D41" s="35" t="inlineStr">
        <is>
          <t>https://m.10jqka.com.cn/20260702/c677904714.shtml</t>
        </is>
      </c>
    </row>
    <row r="42">
      <c r="A42" s="34" t="inlineStr">
        <is>
          <t>↳↳ 城配物流·低频 换电渗透率</t>
        </is>
      </c>
      <c r="B42" s="34" t="inlineStr">
        <is>
          <t>scenes[].swap_penetration</t>
        </is>
      </c>
      <c r="C42" s="34" t="inlineStr">
        <is>
          <t>重卡分场景 30/50/70%（JPM 续航分布 + 极兔 5000 台订单实证）；城配高频 50%；出租/网约 50%；Robotaxi 100%；私家分档</t>
        </is>
      </c>
      <c r="D42" s="35" t="inlineStr">
        <is>
          <t>https://m.10jqka.com.cn/20260702/c677904714.shtml</t>
        </is>
      </c>
    </row>
    <row r="43">
      <c r="A43" s="34" t="inlineStr">
        <is>
          <t>↳↳ 出租车·出租车 换电渗透率</t>
        </is>
      </c>
      <c r="B43" s="34" t="inlineStr">
        <is>
          <t>scenes[].swap_penetration</t>
        </is>
      </c>
      <c r="C43" s="34" t="inlineStr">
        <is>
          <t>重卡分场景 30/50/70%（JPM 续航分布 + 极兔 5000 台订单实证）；城配高频 50%；出租/网约 50%；Robotaxi 100%；私家分档</t>
        </is>
      </c>
      <c r="D43" s="35" t="inlineStr">
        <is>
          <t>https://m.10jqka.com.cn/20260702/c677904714.shtml</t>
        </is>
      </c>
    </row>
    <row r="44">
      <c r="A44" s="34" t="inlineStr">
        <is>
          <t>↳↳ 网约车·网约车 换电渗透率</t>
        </is>
      </c>
      <c r="B44" s="34" t="inlineStr">
        <is>
          <t>scenes[].swap_penetration</t>
        </is>
      </c>
      <c r="C44" s="34" t="inlineStr">
        <is>
          <t>重卡分场景 30/50/70%（JPM 续航分布 + 极兔 5000 台订单实证）；城配高频 50%；出租/网约 50%；Robotaxi 100%；私家分档</t>
        </is>
      </c>
      <c r="D44" s="35" t="inlineStr">
        <is>
          <t>https://m.10jqka.com.cn/20260702/c677904714.shtml</t>
        </is>
      </c>
    </row>
    <row r="45">
      <c r="A45" s="34" t="inlineStr">
        <is>
          <t>↳↳ Robotaxi·Robotaxi 换电渗透率</t>
        </is>
      </c>
      <c r="B45" s="34" t="inlineStr">
        <is>
          <t>scenes[].swap_penetration</t>
        </is>
      </c>
      <c r="C45" s="34" t="inlineStr">
        <is>
          <t>重卡分场景 30/50/70%（JPM 续航分布 + 极兔 5000 台订单实证）；城配高频 50%；出租/网约 50%；Robotaxi 100%；私家分档</t>
        </is>
      </c>
      <c r="D45" s="35" t="inlineStr">
        <is>
          <t>https://m.10jqka.com.cn/20260702/c677904714.shtml</t>
        </is>
      </c>
    </row>
    <row r="46">
      <c r="A46" s="34" t="inlineStr">
        <is>
          <t>↳↳ 私家车·8万元以下 换电渗透率</t>
        </is>
      </c>
      <c r="B46" s="34" t="inlineStr">
        <is>
          <t>scenario_swap_penetration.{保守/中枢/激进}[{_band}]</t>
        </is>
      </c>
      <c r="C46" s="34" t="inlineStr">
        <is>
          <t>中枢：8万下0 / 8–15万5% / 15万+3%（受 CTC/CTB 架构与蔚来竞争约束，分档假设）</t>
        </is>
      </c>
      <c r="D46" s="34" t="inlineStr"/>
    </row>
    <row r="47">
      <c r="A47" s="34" t="inlineStr">
        <is>
          <t>↳↳ 私家车·8至15万元 换电渗透率</t>
        </is>
      </c>
      <c r="B47" s="34" t="inlineStr">
        <is>
          <t>scenario_swap_penetration.{保守/中枢/激进}[{_band}]</t>
        </is>
      </c>
      <c r="C47" s="34" t="inlineStr">
        <is>
          <t>中枢：8万下0 / 8–15万5% / 15万+3%（受 CTC/CTB 架构与蔚来竞争约束，分档假设）</t>
        </is>
      </c>
      <c r="D47" s="34" t="inlineStr"/>
    </row>
    <row r="48">
      <c r="A48" s="34" t="inlineStr">
        <is>
          <t>↳↳ 私家车·15万元以上 换电渗透率</t>
        </is>
      </c>
      <c r="B48" s="34" t="inlineStr">
        <is>
          <t>scenario_swap_penetration.{保守/中枢/激进}[{_band}]</t>
        </is>
      </c>
      <c r="C48" s="34" t="inlineStr">
        <is>
          <t>中枢：8万下0 / 8–15万5% / 15万+3%（受 CTC/CTB 架构与蔚来竞争约束，分档假设）</t>
        </is>
      </c>
      <c r="D48" s="34" t="inlineStr"/>
    </row>
    <row r="49">
      <c r="A49" s="34" t="inlineStr">
        <is>
          <t>↳ CATL换电份额（分场景）</t>
        </is>
      </c>
      <c r="B49" s="34" t="inlineStr">
        <is>
          <t>min(1, vehicles.{v}.scenes[s].catl_swap_share ＋ mna.份额上修)</t>
        </is>
      </c>
      <c r="C49" s="34" t="inlineStr">
        <is>
          <t>重卡短途 30%/长途 70%（极兔订单、奥动原话）；城配 80%；出租/网约 50%；Robotaxi 100%；私家 50%</t>
        </is>
      </c>
      <c r="D49" s="35" t="inlineStr">
        <is>
          <t>https://chejiahao.autohome.com.cn/info/25909400</t>
        </is>
      </c>
    </row>
    <row r="50">
      <c r="A50" s="34" t="inlineStr">
        <is>
          <t>↳↳ 重卡·短途 CATL换电份额</t>
        </is>
      </c>
      <c r="B50" s="34" t="inlineStr">
        <is>
          <t>scenes[].catl_swap_share</t>
        </is>
      </c>
      <c r="C50" s="34" t="inlineStr">
        <is>
          <t>重卡短途 30%/长途 70%（极兔订单、奥动原话）；城配 80%；出租/网约 50%；Robotaxi 100%；私家 50%</t>
        </is>
      </c>
      <c r="D50" s="35" t="inlineStr">
        <is>
          <t>https://chejiahao.autohome.com.cn/info/25909400</t>
        </is>
      </c>
    </row>
    <row r="51">
      <c r="A51" s="34" t="inlineStr">
        <is>
          <t>↳↳ 重卡·中途 CATL换电份额</t>
        </is>
      </c>
      <c r="B51" s="34" t="inlineStr">
        <is>
          <t>scenes[].catl_swap_share</t>
        </is>
      </c>
      <c r="C51" s="34" t="inlineStr">
        <is>
          <t>重卡短途 30%/长途 70%（极兔订单、奥动原话）；城配 80%；出租/网约 50%；Robotaxi 100%；私家 50%</t>
        </is>
      </c>
      <c r="D51" s="35" t="inlineStr">
        <is>
          <t>https://chejiahao.autohome.com.cn/info/25909400</t>
        </is>
      </c>
    </row>
    <row r="52">
      <c r="A52" s="34" t="inlineStr">
        <is>
          <t>↳↳ 重卡·长途 CATL换电份额</t>
        </is>
      </c>
      <c r="B52" s="34" t="inlineStr">
        <is>
          <t>scenes[].catl_swap_share</t>
        </is>
      </c>
      <c r="C52" s="34" t="inlineStr">
        <is>
          <t>重卡短途 30%/长途 70%（极兔订单、奥动原话）；城配 80%；出租/网约 50%；Robotaxi 100%；私家 50%</t>
        </is>
      </c>
      <c r="D52" s="35" t="inlineStr">
        <is>
          <t>https://chejiahao.autohome.com.cn/info/25909400</t>
        </is>
      </c>
    </row>
    <row r="53">
      <c r="A53" s="34" t="inlineStr">
        <is>
          <t>↳↳ 城配物流·高频 CATL换电份额</t>
        </is>
      </c>
      <c r="B53" s="34" t="inlineStr">
        <is>
          <t>scenes[].catl_swap_share</t>
        </is>
      </c>
      <c r="C53" s="34" t="inlineStr">
        <is>
          <t>重卡短途 30%/长途 70%（极兔订单、奥动原话）；城配 80%；出租/网约 50%；Robotaxi 100%；私家 50%</t>
        </is>
      </c>
      <c r="D53" s="35" t="inlineStr">
        <is>
          <t>https://chejiahao.autohome.com.cn/info/25909400</t>
        </is>
      </c>
    </row>
    <row r="54">
      <c r="A54" s="34" t="inlineStr">
        <is>
          <t>↳↳ 城配物流·低频 CATL换电份额</t>
        </is>
      </c>
      <c r="B54" s="34" t="inlineStr">
        <is>
          <t>scenes[].catl_swap_share</t>
        </is>
      </c>
      <c r="C54" s="34" t="inlineStr">
        <is>
          <t>重卡短途 30%/长途 70%（极兔订单、奥动原话）；城配 80%；出租/网约 50%；Robotaxi 100%；私家 50%</t>
        </is>
      </c>
      <c r="D54" s="35" t="inlineStr">
        <is>
          <t>https://chejiahao.autohome.com.cn/info/25909400</t>
        </is>
      </c>
    </row>
    <row r="55">
      <c r="A55" s="34" t="inlineStr">
        <is>
          <t>↳↳ 出租车·出租车 CATL换电份额</t>
        </is>
      </c>
      <c r="B55" s="34" t="inlineStr">
        <is>
          <t>scenes[].catl_swap_share</t>
        </is>
      </c>
      <c r="C55" s="34" t="inlineStr">
        <is>
          <t>重卡短途 30%/长途 70%（极兔订单、奥动原话）；城配 80%；出租/网约 50%；Robotaxi 100%；私家 50%</t>
        </is>
      </c>
      <c r="D55" s="35" t="inlineStr">
        <is>
          <t>https://chejiahao.autohome.com.cn/info/25909400</t>
        </is>
      </c>
    </row>
    <row r="56">
      <c r="A56" s="34" t="inlineStr">
        <is>
          <t>↳↳ 网约车·网约车 CATL换电份额</t>
        </is>
      </c>
      <c r="B56" s="34" t="inlineStr">
        <is>
          <t>scenes[].catl_swap_share</t>
        </is>
      </c>
      <c r="C56" s="34" t="inlineStr">
        <is>
          <t>重卡短途 30%/长途 70%（极兔订单、奥动原话）；城配 80%；出租/网约 50%；Robotaxi 100%；私家 50%</t>
        </is>
      </c>
      <c r="D56" s="35" t="inlineStr">
        <is>
          <t>https://chejiahao.autohome.com.cn/info/25909400</t>
        </is>
      </c>
    </row>
    <row r="57">
      <c r="A57" s="34" t="inlineStr">
        <is>
          <t>↳↳ Robotaxi·Robotaxi CATL换电份额</t>
        </is>
      </c>
      <c r="B57" s="34" t="inlineStr">
        <is>
          <t>scenes[].catl_swap_share</t>
        </is>
      </c>
      <c r="C57" s="34" t="inlineStr">
        <is>
          <t>重卡短途 30%/长途 70%（极兔订单、奥动原话）；城配 80%；出租/网约 50%；Robotaxi 100%；私家 50%</t>
        </is>
      </c>
      <c r="D57" s="35" t="inlineStr">
        <is>
          <t>https://chejiahao.autohome.com.cn/info/25909400</t>
        </is>
      </c>
    </row>
    <row r="58">
      <c r="A58" s="34" t="inlineStr">
        <is>
          <t>↳↳ 私家车·8万元以下 CATL换电份额</t>
        </is>
      </c>
      <c r="B58" s="34" t="inlineStr">
        <is>
          <t>scenes[].catl_swap_share</t>
        </is>
      </c>
      <c r="C58" s="34" t="inlineStr">
        <is>
          <t>重卡短途 30%/长途 70%（极兔订单、奥动原话）；城配 80%；出租/网约 50%；Robotaxi 100%；私家 50%</t>
        </is>
      </c>
      <c r="D58" s="35" t="inlineStr">
        <is>
          <t>https://chejiahao.autohome.com.cn/info/25909400</t>
        </is>
      </c>
    </row>
    <row r="59">
      <c r="A59" s="34" t="inlineStr">
        <is>
          <t>↳↳ 私家车·8至15万元 CATL换电份额</t>
        </is>
      </c>
      <c r="B59" s="34" t="inlineStr">
        <is>
          <t>scenes[].catl_swap_share</t>
        </is>
      </c>
      <c r="C59" s="34" t="inlineStr">
        <is>
          <t>重卡短途 30%/长途 70%（极兔订单、奥动原话）；城配 80%；出租/网约 50%；Robotaxi 100%；私家 50%</t>
        </is>
      </c>
      <c r="D59" s="35" t="inlineStr">
        <is>
          <t>https://chejiahao.autohome.com.cn/info/25909400</t>
        </is>
      </c>
    </row>
    <row r="60">
      <c r="A60" s="34" t="inlineStr">
        <is>
          <t>↳↳ 私家车·15万元以上 CATL换电份额</t>
        </is>
      </c>
      <c r="B60" s="34" t="inlineStr">
        <is>
          <t>scenes[].catl_swap_share</t>
        </is>
      </c>
      <c r="C60" s="34" t="inlineStr">
        <is>
          <t>重卡短途 30%/长途 70%（极兔订单、奥动原话）；城配 80%；出租/网约 50%；Robotaxi 100%；私家 50%</t>
        </is>
      </c>
      <c r="D60" s="35" t="inlineStr">
        <is>
          <t>https://chejiahao.autohome.com.cn/info/25909400</t>
        </is>
      </c>
    </row>
    <row r="61">
      <c r="A61" s="34" t="inlineStr">
        <is>
          <t>↳↳ 份额上修（重卡/乘用）</t>
        </is>
      </c>
      <c r="B61" s="34" t="inlineStr">
        <is>
          <t>mna.{heavy/passenger}_catl_swap_share_uplift</t>
        </is>
      </c>
      <c r="C61" s="34" t="inlineStr">
        <is>
          <t>mna 基准情景 启源入股_不收蔚来 ⇒ 上修=0（重卡/乘用均 0）；并购情景才 重卡+1%/乘用+2~3%</t>
        </is>
      </c>
      <c r="D61" s="34" t="inlineStr"/>
    </row>
    <row r="62">
      <c r="A62" s="34" t="inlineStr">
        <is>
          <t>↳ 首年存量CATL换电结转（万辆）</t>
        </is>
      </c>
      <c r="B62" s="34" t="inlineStr">
        <is>
          <t>vehicles.{v}.existing_catl_swap_stock_wan</t>
        </is>
      </c>
      <c r="C62" s="34" t="inlineStr">
        <is>
          <t>2025 已入 CATL 换电体系存量：重卡 0.7 万（盐田港案例）、城配单列不并入 headline</t>
        </is>
      </c>
      <c r="D62" s="34" t="inlineStr"/>
    </row>
    <row r="63">
      <c r="A63" s="34" t="inlineStr">
        <is>
          <t>年换电量（亿度）</t>
        </is>
      </c>
      <c r="B63" s="34" t="inlineStr">
        <is>
          <t>swap.annual_energy_yi_kwh</t>
        </is>
      </c>
      <c r="C63" s="34" t="inlineStr">
        <is>
          <t>＝换电车辆×1e4×频次×单次补电量×运营天数÷1e8</t>
        </is>
      </c>
      <c r="D63" s="34" t="inlineStr"/>
    </row>
    <row r="64">
      <c r="A64" s="34" t="inlineStr">
        <is>
          <t>↳ 换电频次（次/天）</t>
        </is>
      </c>
      <c r="B64" s="34" t="inlineStr">
        <is>
          <t>scale.terminal_frequency_by_vehicle</t>
        </is>
      </c>
      <c r="C64" s="34" t="inlineStr">
        <is>
          <t>＝日均里程÷可用续航；可用续航＝背电量×可用系数÷电耗（derived.py）</t>
        </is>
      </c>
      <c r="D64" s="34" t="inlineStr"/>
    </row>
    <row r="65">
      <c r="A65" s="34" t="inlineStr">
        <is>
          <t>↳ 单次补电量（kWh）</t>
        </is>
      </c>
      <c r="B65" s="34" t="inlineStr">
        <is>
          <t>onboard_battery_kwh × usable_energy_factor</t>
        </is>
      </c>
      <c r="C65" s="34" t="inlineStr">
        <is>
          <t>＝背电量×可用能量系数(补能比例)；重卡 342/513、乘用 56、城配 81</t>
        </is>
      </c>
      <c r="D65" s="34" t="inlineStr"/>
    </row>
    <row r="66">
      <c r="A66" s="34" t="inlineStr">
        <is>
          <t>↳ 日均里程（km）</t>
        </is>
      </c>
      <c r="B66" s="34" t="inlineStr">
        <is>
          <t>vehicles.{v}.scenes[].daily_km</t>
        </is>
      </c>
      <c r="C66" s="34" t="inlineStr">
        <is>
          <t>分场景日均里程：重卡 130/400/650、城配 300、出租 450、网约 342、Robotaxi 450、私家 60</t>
        </is>
      </c>
      <c r="D66" s="34" t="inlineStr"/>
    </row>
    <row r="67">
      <c r="A67" s="34" t="inlineStr">
        <is>
          <t>↳ 背电量（kWh）</t>
        </is>
      </c>
      <c r="B67" s="34" t="inlineStr">
        <is>
          <t>vehicles.{v}.scenes[].onboard_battery_kwh</t>
        </is>
      </c>
      <c r="C67" s="34" t="inlineStr">
        <is>
          <t>实际装车电量：重卡短途 342/中长途 513（盐田港 171kWh 块）、乘用 56（25#块）、城配 81（35#块）</t>
        </is>
      </c>
      <c r="D67" s="35" t="inlineStr">
        <is>
          <t>https://www.catl.com/news/9884.html</t>
        </is>
      </c>
    </row>
    <row r="68">
      <c r="A68" s="34" t="inlineStr">
        <is>
          <t>↳ 电耗（kWh/km）</t>
        </is>
      </c>
      <c r="B68" s="34" t="inlineStr">
        <is>
          <t>vehicles.{v}.scenes[].energy_consumption_kwh_km</t>
        </is>
      </c>
      <c r="C68" s="34" t="inlineStr">
        <is>
          <t>单公里电耗：重卡 1.5/1.7、乘用 0.15、城配 0.27</t>
        </is>
      </c>
      <c r="D68" s="34" t="inlineStr"/>
    </row>
    <row r="69">
      <c r="A69" s="34" t="inlineStr">
        <is>
          <t>↳ 可用能量系数（补能比例）</t>
        </is>
      </c>
      <c r="B69" s="34" t="inlineStr">
        <is>
          <t>swap_business.usable_energy_factor</t>
        </is>
      </c>
      <c r="C69" s="34" t="inlineStr">
        <is>
          <t>可用 SOC 窗口占装车电量比例（换电非 0→100%），经验假设</t>
        </is>
      </c>
      <c r="D69" s="34" t="inlineStr"/>
    </row>
    <row r="70">
      <c r="A70" s="34" t="inlineStr">
        <is>
          <t>↳ 可用续航（km）</t>
        </is>
      </c>
      <c r="B70" s="34" t="inlineStr">
        <is>
          <t>onboard_kwh × usable_energy_factor ÷ 电耗</t>
        </is>
      </c>
      <c r="C70" s="34" t="inlineStr">
        <is>
          <t>＝背电量×可用系数÷电耗（频次的分母）</t>
        </is>
      </c>
      <c r="D70" s="34" t="inlineStr"/>
    </row>
    <row r="71">
      <c r="A71" s="34" t="inlineStr">
        <is>
          <t>↳ 年运营天数</t>
        </is>
      </c>
      <c r="B71" s="34" t="inlineStr">
        <is>
          <t>swap_business.operating_days</t>
        </is>
      </c>
      <c r="C71" s="34" t="inlineStr">
        <is>
          <t>年运营天数，保守取 350（留检修与极端天气），经验假设</t>
        </is>
      </c>
      <c r="D71" s="34" t="inlineStr"/>
    </row>
    <row r="72">
      <c r="A72" s="34" t="inlineStr">
        <is>
          <t>换电站数（座）</t>
        </is>
      </c>
      <c r="B72" s="34" t="inlineStr">
        <is>
          <t>scale.target_station_demand</t>
        </is>
      </c>
      <c r="C72" s="34" t="inlineStr">
        <is>
          <t>＝⌈(日换电需求−私家溢出)÷单站规划能力⌉，私家先填单站物理冗余、溢出才新建（四站型独立反推）</t>
        </is>
      </c>
      <c r="D72" s="34" t="inlineStr"/>
    </row>
    <row r="73">
      <c r="A73" s="34" t="inlineStr">
        <is>
          <t>↳ 日换电次数（万次）</t>
        </is>
      </c>
      <c r="B73" s="34" t="inlineStr">
        <is>
          <t>vehicles × 频次</t>
        </is>
      </c>
      <c r="C73" s="34" t="inlineStr">
        <is>
          <t>＝换电车辆×换电频次</t>
        </is>
      </c>
      <c r="D73" s="34" t="inlineStr"/>
    </row>
    <row r="74">
      <c r="A74" s="34" t="inlineStr">
        <is>
          <t>↳ 单站规划能力</t>
        </is>
      </c>
      <c r="B74" s="34" t="inlineStr">
        <is>
          <t>stations.{pool}.planning_daily_capacity</t>
        </is>
      </c>
      <c r="C74" s="34" t="inlineStr">
        <is>
          <t>外生假设的规划日接待能力（非物理上限）</t>
        </is>
      </c>
      <c r="D74" s="34" t="inlineStr"/>
    </row>
    <row r="75">
      <c r="A75" s="34" t="inlineStr">
        <is>
          <t>↳ 单站物理上限</t>
        </is>
      </c>
      <c r="B75" s="34" t="inlineStr">
        <is>
          <t>min(机械能力, 充电能力)</t>
        </is>
      </c>
      <c r="C75" s="34" t="inlineStr">
        <is>
          <t>＝min(营业时长×3600÷单次换电秒数, 充电功率×时长×RTE÷(块电量×可用系数))</t>
        </is>
      </c>
      <c r="D75" s="34" t="inlineStr"/>
    </row>
    <row r="76">
      <c r="A76" s="34" t="inlineStr">
        <is>
          <t>↳ 单站投资（万元）</t>
        </is>
      </c>
      <c r="B76" s="34" t="inlineStr">
        <is>
          <t>stations.{pool}.station_body_capex_wan</t>
        </is>
      </c>
      <c r="C76" s="34" t="inlineStr">
        <is>
          <t>站体（不含电池）单站建设投资，外生假设</t>
        </is>
      </c>
      <c r="D76" s="34" t="inlineStr"/>
    </row>
    <row r="77">
      <c r="A77" s="34" t="inlineStr">
        <is>
          <t>↳ 单站库存块数</t>
        </is>
      </c>
      <c r="B77" s="34" t="inlineStr">
        <is>
          <t>stations.{pool}.inventory_blocks</t>
        </is>
      </c>
      <c r="C77" s="34" t="inlineStr">
        <is>
          <t>单站配备周转电池块数，外生假设</t>
        </is>
      </c>
      <c r="D77" s="34" t="inlineStr"/>
    </row>
    <row r="78">
      <c r="A78" s="34" t="inlineStr">
        <is>
          <t>↳ 单块带电量（kWh）</t>
        </is>
      </c>
      <c r="B78" s="34" t="inlineStr">
        <is>
          <t>stations.{pool}.block_kwh</t>
        </is>
      </c>
      <c r="C78" s="34" t="inlineStr">
        <is>
          <t>标准电池块容量（25#56 / 35#81 / 75#171 kWh）</t>
        </is>
      </c>
      <c r="D78" s="35" t="inlineStr">
        <is>
          <t>https://www.catl.com/news/9884.html</t>
        </is>
      </c>
    </row>
    <row r="79">
      <c r="A79" s="34" t="inlineStr">
        <is>
          <t>初装CAPEX合计（亿）</t>
        </is>
      </c>
      <c r="B79" s="34" t="inlineStr">
        <is>
          <t>capex.total_initial_capex_yi</t>
        </is>
      </c>
      <c r="C79" s="34" t="inlineStr">
        <is>
          <t>＝电池初装CAPEX ＋ 站体CAPEX</t>
        </is>
      </c>
      <c r="D79" s="34" t="inlineStr"/>
    </row>
    <row r="80">
      <c r="A80" s="34" t="inlineStr">
        <is>
          <t>↳ 电池初装CAPEX（亿）</t>
        </is>
      </c>
      <c r="B80" s="34">
        <f> 电池总装机(GWh) × 电池价格 ÷ 100</f>
        <v/>
      </c>
      <c r="C80" s="34" t="inlineStr">
        <is>
          <t>＝(装车电池 ＋ 站内周转电池)×电池价格÷100</t>
        </is>
      </c>
      <c r="D80" s="34" t="inlineStr"/>
    </row>
    <row r="81">
      <c r="A81" s="34" t="inlineStr">
        <is>
          <t>↳ 站体CAPEX（亿）</t>
        </is>
      </c>
      <c r="B81" s="34">
        <f> 站数 × 单站投资 ÷ 1e4</f>
        <v/>
      </c>
      <c r="C81" s="34" t="inlineStr">
        <is>
          <t>＝站数×单站投资÷1e4</t>
        </is>
      </c>
      <c r="D81" s="34" t="inlineStr"/>
    </row>
    <row r="82">
      <c r="A82" s="34" t="inlineStr">
        <is>
          <t>↳ 装车电池装机（GWh）</t>
        </is>
      </c>
      <c r="B82" s="34" t="inlineStr">
        <is>
          <t>scale.annual_catl_swap_gwh（累计）</t>
        </is>
      </c>
      <c r="C82" s="34" t="inlineStr">
        <is>
          <t>＝Σ年 Σ场景 CATL换电车辆×背电量÷100</t>
        </is>
      </c>
      <c r="D82" s="34" t="inlineStr"/>
    </row>
    <row r="83">
      <c r="A83" s="34" t="inlineStr">
        <is>
          <t>↳ 站内周转电池（GWh）</t>
        </is>
      </c>
      <c r="B83" s="34" t="inlineStr">
        <is>
          <t>stations × inventory_blocks × block_kwh ÷ 1e6</t>
        </is>
      </c>
      <c r="C83" s="34" t="inlineStr">
        <is>
          <t>＝站数×单站库存块数×单块带电量÷1e6</t>
        </is>
      </c>
      <c r="D83" s="34" t="inlineStr"/>
    </row>
    <row r="84">
      <c r="A84" s="34" t="inlineStr">
        <is>
          <t>↳ 电池价格（元/kWh）</t>
        </is>
      </c>
      <c r="B84" s="34" t="inlineStr">
        <is>
          <t>construction.battery_price_curve.base_price_rmb_kwh</t>
        </is>
      </c>
      <c r="C84" s="34" t="inlineStr">
        <is>
          <t>三阶段价格曲线基年价格（平台期→快速降→慢速降），行业假设</t>
        </is>
      </c>
      <c r="D84" s="34" t="inlineStr"/>
    </row>
    <row r="85">
      <c r="A85" s="34" t="inlineStr">
        <is>
          <t>↳ 电池寿命（年）</t>
        </is>
      </c>
      <c r="B85" s="34" t="inlineStr">
        <is>
          <t>scale.battery_pool_life_years</t>
        </is>
      </c>
      <c r="C85" s="34" t="inlineStr">
        <is>
          <t>＝min(临界循环次数÷(池均频次×年运营天数), 日历寿命封顶)；按四物理电池池核算</t>
        </is>
      </c>
      <c r="D85" s="34" t="inlineStr"/>
    </row>
    <row r="86">
      <c r="A86" s="34" t="inlineStr">
        <is>
          <t>全周期资本基数（亿）</t>
        </is>
      </c>
      <c r="B86" s="34" t="inlineStr">
        <is>
          <t>capex.lifecycle_capital_base_yi</t>
        </is>
      </c>
      <c r="C86" s="34" t="inlineStr">
        <is>
          <t>＝初装CAPEX×(1＋重置现值比)（EAC 式全周期资本）</t>
        </is>
      </c>
      <c r="D86" s="34" t="inlineStr"/>
    </row>
    <row r="87">
      <c r="A87" s="34" t="inlineStr">
        <is>
          <t>↳ 年折旧（亿）</t>
        </is>
      </c>
      <c r="B87" s="34" t="inlineStr">
        <is>
          <t>capex.mature_annual_depreciation_yi</t>
        </is>
      </c>
      <c r="C87" s="34" t="inlineStr">
        <is>
          <t>＝电池折旧基数÷电池寿命 ＋ 站体CAPEX÷站体折旧年限（会计寿命）</t>
        </is>
      </c>
      <c r="D87" s="34" t="inlineStr"/>
    </row>
    <row r="88">
      <c r="A88" s="34" t="inlineStr">
        <is>
          <t>↳ 年资本要求 FCFF（亿）</t>
        </is>
      </c>
      <c r="B88" s="34">
        <f> 全周期资本基数 × CRF</f>
        <v/>
      </c>
      <c r="C88" s="34" t="inlineStr">
        <is>
          <t>＝全周期资本基数×CRF（满足 15% 回报的年度自由现金流）</t>
        </is>
      </c>
      <c r="D88" s="34" t="inlineStr"/>
    </row>
    <row r="89">
      <c r="A89" s="34" t="inlineStr">
        <is>
          <t>↳ CRF（资本回收系数）</t>
        </is>
      </c>
      <c r="B89" s="34" t="inlineStr">
        <is>
          <t>finance.capital_recovery_factor</t>
        </is>
      </c>
      <c r="C89" s="34" t="inlineStr">
        <is>
          <t>资本回收系数＝要求回报×(1+要求回报)^n÷((1+要求回报)^n−1)，与 required_return 上沿一致</t>
        </is>
      </c>
      <c r="D89" s="34" t="inlineStr"/>
    </row>
    <row r="90">
      <c r="A90" s="34" t="inlineStr">
        <is>
          <t>↳ WACC</t>
        </is>
      </c>
      <c r="B90" s="34" t="inlineStr">
        <is>
          <t>finance.wacc</t>
        </is>
      </c>
      <c r="C90" s="34" t="inlineStr">
        <is>
          <t>能源基建行业收益率 6–8% 中性中枢，经验假设</t>
        </is>
      </c>
      <c r="D90" s="34" t="inlineStr"/>
    </row>
    <row r="91">
      <c r="A91" s="34" t="inlineStr">
        <is>
          <t>↳ 债务比例</t>
        </is>
      </c>
      <c r="B91" s="34" t="inlineStr">
        <is>
          <t>finance.debt_ratio</t>
        </is>
      </c>
      <c r="C91" s="34" t="inlineStr">
        <is>
          <t>类固收项目可做到 1:1.5 杠杆，经验假设</t>
        </is>
      </c>
      <c r="D91" s="34" t="inlineStr"/>
    </row>
    <row r="92">
      <c r="A92" s="34" t="inlineStr">
        <is>
          <t>营收合计（亿）</t>
        </is>
      </c>
      <c r="B92" s="34" t="inlineStr">
        <is>
          <t>swap.revenue_yi</t>
        </is>
      </c>
      <c r="C92" s="34" t="inlineStr">
        <is>
          <t>＝服务费收入 ＋ 电池租金 ＋ 峰谷套利 ＋ 辅助服务（净额法）</t>
        </is>
      </c>
      <c r="D92" s="34" t="inlineStr"/>
    </row>
    <row r="93">
      <c r="A93" s="34" t="inlineStr">
        <is>
          <t>↳ 换电服务费（亿）</t>
        </is>
      </c>
      <c r="B93" s="34">
        <f> 年换电量(亿度) × 度电服务费</f>
        <v/>
      </c>
      <c r="C93" s="34" t="inlineStr">
        <is>
          <t>＝年换电量×度电服务费（净额法）</t>
        </is>
      </c>
      <c r="D93" s="34" t="inlineStr"/>
    </row>
    <row r="94">
      <c r="A94" s="34" t="inlineStr">
        <is>
          <t>↳ 度电服务费（元/kWh）</t>
        </is>
      </c>
      <c r="B94" s="34" t="inlineStr">
        <is>
          <t>swap_business.service_fee_rmb_kwh</t>
        </is>
      </c>
      <c r="C94" s="34" t="inlineStr">
        <is>
          <t>三情景：悲观 0.20 / 中性 0.30 / 乐观 0.40 元/kWh（CATL 公开月租/服务费）</t>
        </is>
      </c>
      <c r="D94" s="34" t="inlineStr"/>
    </row>
    <row r="95">
      <c r="A95" s="34" t="inlineStr">
        <is>
          <t>↳ 电池租金（亿）</t>
        </is>
      </c>
      <c r="B95" s="34">
        <f> 收租装机(GWh) × 度电租金 ÷ 100</f>
        <v/>
      </c>
      <c r="C95" s="34" t="inlineStr">
        <is>
          <t>＝收租装机×度电租金÷100（收租装机＝装车 ＋ 站内×外部股东占比）</t>
        </is>
      </c>
      <c r="D95" s="34" t="inlineStr"/>
    </row>
    <row r="96">
      <c r="A96" s="34" t="inlineStr">
        <is>
          <t>↳ 度电租金（元/kWh·年）</t>
        </is>
      </c>
      <c r="B96" s="34" t="inlineStr">
        <is>
          <t>swap_business.battery_rent_rmb_kwh_year</t>
        </is>
      </c>
      <c r="C96" s="34" t="inlineStr">
        <is>
          <t>综合约 10 元/月折算的年度租金单价，经验假设</t>
        </is>
      </c>
      <c r="D96" s="34" t="inlineStr"/>
    </row>
    <row r="97">
      <c r="A97" s="34" t="inlineStr">
        <is>
          <t>↳ 收租装机（GWh）</t>
        </is>
      </c>
      <c r="B97" s="34" t="inlineStr">
        <is>
          <t>rent_eligible_gwh</t>
        </is>
      </c>
      <c r="C97" s="34" t="inlineStr">
        <is>
          <t>＝装车电池 ＋ 站内外股东电池（可出租电池资产）</t>
        </is>
      </c>
      <c r="D97" s="34" t="inlineStr"/>
    </row>
    <row r="98">
      <c r="A98" s="34" t="inlineStr">
        <is>
          <t>↳ 峰谷套利（亿）</t>
        </is>
      </c>
      <c r="B98" s="34">
        <f> 站内周转装机 × 天数 × 峰谷价差 × RTE ÷ 100</f>
        <v/>
      </c>
      <c r="C98" s="34" t="inlineStr">
        <is>
          <t>＝站内周转装机×天数×峰谷价差×RTE÷100（每日夜间谷充峰放一次）</t>
        </is>
      </c>
      <c r="D98" s="34" t="inlineStr"/>
    </row>
    <row r="99">
      <c r="A99" s="34" t="inlineStr">
        <is>
          <t>↳ 辅助服务（亿）</t>
        </is>
      </c>
      <c r="B99" s="34">
        <f> 容量补偿 ＋ max(需求响应, 调频VPP)</f>
        <v/>
      </c>
      <c r="C99" s="34" t="inlineStr">
        <is>
          <t>＝容量补偿 ＋ max(需求响应, 调频VPP)（变动收益取孰高）</t>
        </is>
      </c>
      <c r="D99" s="34" t="inlineStr"/>
    </row>
    <row r="100">
      <c r="A100" s="34" t="inlineStr">
        <is>
          <t>OPEX 合计（亿）</t>
        </is>
      </c>
      <c r="B100" s="34" t="inlineStr">
        <is>
          <t>swap.opex_yi</t>
        </is>
      </c>
      <c r="C100" s="34" t="inlineStr">
        <is>
          <t>＝充电成本 ＋ 场租 ＋ 人工 ＋ 软件 ＋ 保险 ＋ 池维护 ＋ 仓储物流</t>
        </is>
      </c>
      <c r="D100" s="34" t="inlineStr"/>
    </row>
    <row r="101">
      <c r="A101" s="34" t="inlineStr">
        <is>
          <t>↳ 充电成本（亿）</t>
        </is>
      </c>
      <c r="B101" s="34">
        <f> 净电量 × 谷电价</f>
        <v/>
      </c>
      <c r="C101" s="34" t="inlineStr">
        <is>
          <t>＝净电量×谷电价（净电量＝总充电−换电量，仅 RTE 损失与厂用电）</t>
        </is>
      </c>
      <c r="D101" s="34" t="inlineStr"/>
    </row>
    <row r="102">
      <c r="A102" s="34" t="inlineStr">
        <is>
          <t>↳ 场租（亿）</t>
        </is>
      </c>
      <c r="B102" s="34">
        <f> 站数 × 单站年租 ÷ 1e4</f>
        <v/>
      </c>
      <c r="C102" s="34" t="inlineStr">
        <is>
          <t>＝站数×单站年租÷1e4</t>
        </is>
      </c>
      <c r="D102" s="34" t="inlineStr"/>
    </row>
    <row r="103">
      <c r="A103" s="34" t="inlineStr">
        <is>
          <t>↳ 人工（亿）</t>
        </is>
      </c>
      <c r="B103" s="34">
        <f> 站数 × 单站人工成本</f>
        <v/>
      </c>
      <c r="C103" s="34" t="inlineStr">
        <is>
          <t>＝站数×单站人工成本（重卡/乘用站分别取）</t>
        </is>
      </c>
      <c r="D103" s="34" t="inlineStr"/>
    </row>
    <row r="104">
      <c r="A104" s="34" t="inlineStr">
        <is>
          <t>↳ 软件调度（亿）</t>
        </is>
      </c>
      <c r="B104" s="34" t="inlineStr">
        <is>
          <t>swap_business.software_opex_yi_year</t>
        </is>
      </c>
      <c r="C104" s="34" t="inlineStr">
        <is>
          <t>全网站点调度系统年度运维，已由 20 亿核减为 2 亿</t>
        </is>
      </c>
      <c r="D104" s="34" t="inlineStr"/>
    </row>
    <row r="105">
      <c r="A105" s="34" t="inlineStr">
        <is>
          <t>↳ 保险＋池维护＋仓储（亿）</t>
        </is>
      </c>
      <c r="B105" s="34">
        <f> 电池资产×保险费率 ＋ 装机×维护费率 ＋ …</f>
        <v/>
      </c>
      <c r="C105" s="34" t="inlineStr">
        <is>
          <t>＝电池资产×保险费率 ＋ 装机×维护费率 ＋ 仓储（蔚能实证费率）</t>
        </is>
      </c>
      <c r="D105" s="34" t="inlineStr"/>
    </row>
    <row r="106">
      <c r="A106" s="34" t="inlineStr">
        <is>
          <t>可交付 EBITDA（亿）</t>
        </is>
      </c>
      <c r="B106" s="34" t="inlineStr">
        <is>
          <t>swap.ebitda_yi</t>
        </is>
      </c>
      <c r="C106" s="34" t="inlineStr">
        <is>
          <t>＝营收合计 − OPEX 合计</t>
        </is>
      </c>
      <c r="D106" s="34" t="inlineStr"/>
    </row>
    <row r="107">
      <c r="A107" s="34" t="inlineStr">
        <is>
          <t>↳ EBITDA 率</t>
        </is>
      </c>
      <c r="B107" s="34">
        <f> 可交付EBITDA ÷ 营收合计</f>
        <v/>
      </c>
      <c r="C107" s="34" t="inlineStr">
        <is>
          <t>＝可交付EBITDA÷营收合计</t>
        </is>
      </c>
      <c r="D107" s="34" t="inlineStr"/>
    </row>
    <row r="108">
      <c r="A108" s="34" t="inlineStr">
        <is>
          <t>门槛 EBITDA（亿）</t>
        </is>
      </c>
      <c r="B108" s="34" t="inlineStr">
        <is>
          <t>swap.required_ebitda_yi</t>
        </is>
      </c>
      <c r="C108" s="34" t="inlineStr">
        <is>
          <t>＝全周期资本基数×EBITDA/CAPEX（满足要求回报最低要求，全网口径）</t>
        </is>
      </c>
      <c r="D108" s="34" t="inlineStr"/>
    </row>
    <row r="109">
      <c r="A109" s="34" t="inlineStr">
        <is>
          <t>安全边际（可交付÷门槛）</t>
        </is>
      </c>
      <c r="B109" s="34" t="inlineStr">
        <is>
          <t>swap.forward_to_required_ebitda</t>
        </is>
      </c>
      <c r="C109" s="34" t="inlineStr">
        <is>
          <t>＝可交付EBITDA÷门槛EBITDA；&gt;1 即达标（全网口径）</t>
        </is>
      </c>
      <c r="D109" s="34" t="inlineStr"/>
    </row>
    <row r="110">
      <c r="A110" s="34" t="inlineStr">
        <is>
          <t>换电增量价值合计（亿）</t>
        </is>
      </c>
      <c r="B110" s="34" t="inlineStr">
        <is>
          <t>ledger.total_swap_increment_value_yi</t>
        </is>
      </c>
      <c r="C110" s="34" t="inlineStr">
        <is>
          <t>＝运营线归属价值 ＋ 制造线换电锁定毛利贡献</t>
        </is>
      </c>
      <c r="D110" s="34" t="inlineStr"/>
    </row>
    <row r="111">
      <c r="A111" s="34" t="inlineStr">
        <is>
          <t>↳ 运营线：企业价值 EV（亿）</t>
        </is>
      </c>
      <c r="B111" s="34" t="inlineStr">
        <is>
          <t>swap.enterprise_value_yi</t>
        </is>
      </c>
      <c r="C111" s="34" t="inlineStr">
        <is>
          <t>＝可交付EBITDA×EV/EBITDA 倍数</t>
        </is>
      </c>
      <c r="D111" s="34" t="inlineStr"/>
    </row>
    <row r="112">
      <c r="A112" s="34" t="inlineStr">
        <is>
          <t>↳ 运营线：宁德归属价值（亿）</t>
        </is>
      </c>
      <c r="B112" s="34" t="inlineStr">
        <is>
          <t>swap.catl_attributable_value_yi</t>
        </is>
      </c>
      <c r="C112" s="34" t="inlineStr">
        <is>
          <t>＝项目股权价值×建站持股比例（config stations.*.catl_equity_share）</t>
        </is>
      </c>
      <c r="D112" s="34" t="inlineStr"/>
    </row>
    <row r="113">
      <c r="A113" s="34" t="inlineStr">
        <is>
          <t>↳ EV/EBITDA 倍数</t>
        </is>
      </c>
      <c r="B113" s="34" t="inlineStr">
        <is>
          <t>finance.swap_ev_ebitda</t>
        </is>
      </c>
      <c r="C113" s="34" t="inlineStr">
        <is>
          <t>估值倍数中枢，行业参照</t>
        </is>
      </c>
      <c r="D113" s="34" t="inlineStr"/>
    </row>
    <row r="114">
      <c r="A114" s="34" t="inlineStr">
        <is>
          <t>↳ 制造线：换电锁定毛利贡献（亿）</t>
        </is>
      </c>
      <c r="B114" s="34" t="inlineStr">
        <is>
          <t>ledger.manufacturing_swap_locked_volume_effect_value_yi</t>
        </is>
      </c>
      <c r="C114" s="34" t="inlineStr">
        <is>
          <t>＝有换电 vs 无换电制造端净利差 × 制造PE</t>
        </is>
      </c>
      <c r="D114" s="34" t="inlineStr"/>
    </row>
    <row r="115">
      <c r="A115" s="34" t="inlineStr">
        <is>
          <t>↳ 制造线：净利率差效应（亿）</t>
        </is>
      </c>
      <c r="B115" s="34" t="inlineStr">
        <is>
          <t>ledger.manufacturing_swap_margin_effect_value_yi</t>
        </is>
      </c>
      <c r="C115" s="34" t="inlineStr">
        <is>
          <t>＝有换电−无换电净利率，三档 0/1.0/2.5pct</t>
        </is>
      </c>
      <c r="D115" s="34" t="inlineStr"/>
    </row>
    <row r="116">
      <c r="A116" s="34" t="inlineStr">
        <is>
          <t>↳ 集团市值（亿）</t>
        </is>
      </c>
      <c r="B116" s="34" t="inlineStr">
        <is>
          <t>financial_2026e.group_market_cap_ah_yi</t>
        </is>
      </c>
      <c r="C116" s="34" t="inlineStr">
        <is>
          <t>A+H 总市值（估值分母）</t>
        </is>
      </c>
      <c r="D116" s="34" t="inlineStr"/>
    </row>
    <row r="117">
      <c r="A117" s="34" t="inlineStr">
        <is>
          <t>增量价值 / 集团市值</t>
        </is>
      </c>
      <c r="B117" s="34" t="inlineStr">
        <is>
          <t>ledger.attributable_swap_value_to_current_group_market_cap</t>
        </is>
      </c>
      <c r="C117" s="34" t="inlineStr">
        <is>
          <t>＝换电增量价值÷集团市值（决策核心读数）</t>
        </is>
      </c>
      <c r="D117" s="34" t="inlineStr"/>
    </row>
    <row r="118">
      <c r="A118" s="34" t="inlineStr">
        <is>
          <t>↳ 宁德初始权益出资（亿）</t>
        </is>
      </c>
      <c r="B118" s="34" t="inlineStr">
        <is>
          <t>swap.catl_initial_equity_investment_yi</t>
        </is>
      </c>
      <c r="C118" s="34" t="inlineStr">
        <is>
          <t>＝初装CAPEX×股权比例×CATL 权益比例</t>
        </is>
      </c>
      <c r="D118" s="34" t="inlineStr"/>
    </row>
    <row r="119">
      <c r="A119" s="34" t="inlineStr">
        <is>
          <t>↳ 回收期（年）</t>
        </is>
      </c>
      <c r="B119" s="34" t="inlineStr">
        <is>
          <t>swap.catl_initial_payback_years</t>
        </is>
      </c>
      <c r="C119" s="34" t="inlineStr">
        <is>
          <t>＝宁德初始出资÷宁德年可分现金</t>
        </is>
      </c>
      <c r="D119" s="34" t="inlineStr"/>
    </row>
    <row r="120">
      <c r="A120" s="34" t="inlineStr">
        <is>
          <t>↳ 决策阈值：安全边际下限</t>
        </is>
      </c>
      <c r="B120" s="34" t="inlineStr">
        <is>
          <t>decision_thresholds.min_forward_to_required_ebitda</t>
        </is>
      </c>
      <c r="C120" s="34" t="inlineStr">
        <is>
          <t>安全边际下限，低于即判定不达标</t>
        </is>
      </c>
      <c r="D120" s="34" t="inlineStr"/>
    </row>
  </sheetData>
  <mergeCells count="1">
    <mergeCell ref="A1:D1"/>
  </mergeCells>
  <hyperlinks>
    <hyperlink xmlns:r="http://schemas.openxmlformats.org/officeDocument/2006/relationships" ref="D3" r:id="rId1"/>
    <hyperlink xmlns:r="http://schemas.openxmlformats.org/officeDocument/2006/relationships" ref="D5" r:id="rId2"/>
    <hyperlink xmlns:r="http://schemas.openxmlformats.org/officeDocument/2006/relationships" ref="D6" r:id="rId3"/>
    <hyperlink xmlns:r="http://schemas.openxmlformats.org/officeDocument/2006/relationships" ref="D7" r:id="rId4"/>
    <hyperlink xmlns:r="http://schemas.openxmlformats.org/officeDocument/2006/relationships" ref="D8" r:id="rId5"/>
    <hyperlink xmlns:r="http://schemas.openxmlformats.org/officeDocument/2006/relationships" ref="D9" r:id="rId6"/>
    <hyperlink xmlns:r="http://schemas.openxmlformats.org/officeDocument/2006/relationships" ref="D10" r:id="rId7"/>
    <hyperlink xmlns:r="http://schemas.openxmlformats.org/officeDocument/2006/relationships" ref="D11" r:id="rId8"/>
    <hyperlink xmlns:r="http://schemas.openxmlformats.org/officeDocument/2006/relationships" ref="D12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5" r:id="rId16"/>
    <hyperlink xmlns:r="http://schemas.openxmlformats.org/officeDocument/2006/relationships" ref="D26" r:id="rId17"/>
    <hyperlink xmlns:r="http://schemas.openxmlformats.org/officeDocument/2006/relationships" ref="D27" r:id="rId18"/>
    <hyperlink xmlns:r="http://schemas.openxmlformats.org/officeDocument/2006/relationships" ref="D28" r:id="rId19"/>
    <hyperlink xmlns:r="http://schemas.openxmlformats.org/officeDocument/2006/relationships" ref="D29" r:id="rId20"/>
    <hyperlink xmlns:r="http://schemas.openxmlformats.org/officeDocument/2006/relationships" ref="D30" r:id="rId21"/>
    <hyperlink xmlns:r="http://schemas.openxmlformats.org/officeDocument/2006/relationships" ref="D31" r:id="rId22"/>
    <hyperlink xmlns:r="http://schemas.openxmlformats.org/officeDocument/2006/relationships" ref="D32" r:id="rId23"/>
    <hyperlink xmlns:r="http://schemas.openxmlformats.org/officeDocument/2006/relationships" ref="D33" r:id="rId24"/>
    <hyperlink xmlns:r="http://schemas.openxmlformats.org/officeDocument/2006/relationships" ref="D34" r:id="rId25"/>
    <hyperlink xmlns:r="http://schemas.openxmlformats.org/officeDocument/2006/relationships" ref="D35" r:id="rId26"/>
    <hyperlink xmlns:r="http://schemas.openxmlformats.org/officeDocument/2006/relationships" ref="D36" r:id="rId27"/>
    <hyperlink xmlns:r="http://schemas.openxmlformats.org/officeDocument/2006/relationships" ref="D37" r:id="rId28"/>
    <hyperlink xmlns:r="http://schemas.openxmlformats.org/officeDocument/2006/relationships" ref="D38" r:id="rId29"/>
    <hyperlink xmlns:r="http://schemas.openxmlformats.org/officeDocument/2006/relationships" ref="D39" r:id="rId30"/>
    <hyperlink xmlns:r="http://schemas.openxmlformats.org/officeDocument/2006/relationships" ref="D40" r:id="rId31"/>
    <hyperlink xmlns:r="http://schemas.openxmlformats.org/officeDocument/2006/relationships" ref="D41" r:id="rId32"/>
    <hyperlink xmlns:r="http://schemas.openxmlformats.org/officeDocument/2006/relationships" ref="D42" r:id="rId33"/>
    <hyperlink xmlns:r="http://schemas.openxmlformats.org/officeDocument/2006/relationships" ref="D43" r:id="rId34"/>
    <hyperlink xmlns:r="http://schemas.openxmlformats.org/officeDocument/2006/relationships" ref="D44" r:id="rId35"/>
    <hyperlink xmlns:r="http://schemas.openxmlformats.org/officeDocument/2006/relationships" ref="D45" r:id="rId36"/>
    <hyperlink xmlns:r="http://schemas.openxmlformats.org/officeDocument/2006/relationships" ref="D49" r:id="rId37"/>
    <hyperlink xmlns:r="http://schemas.openxmlformats.org/officeDocument/2006/relationships" ref="D50" r:id="rId38"/>
    <hyperlink xmlns:r="http://schemas.openxmlformats.org/officeDocument/2006/relationships" ref="D51" r:id="rId39"/>
    <hyperlink xmlns:r="http://schemas.openxmlformats.org/officeDocument/2006/relationships" ref="D52" r:id="rId40"/>
    <hyperlink xmlns:r="http://schemas.openxmlformats.org/officeDocument/2006/relationships" ref="D53" r:id="rId41"/>
    <hyperlink xmlns:r="http://schemas.openxmlformats.org/officeDocument/2006/relationships" ref="D54" r:id="rId42"/>
    <hyperlink xmlns:r="http://schemas.openxmlformats.org/officeDocument/2006/relationships" ref="D55" r:id="rId43"/>
    <hyperlink xmlns:r="http://schemas.openxmlformats.org/officeDocument/2006/relationships" ref="D56" r:id="rId44"/>
    <hyperlink xmlns:r="http://schemas.openxmlformats.org/officeDocument/2006/relationships" ref="D57" r:id="rId45"/>
    <hyperlink xmlns:r="http://schemas.openxmlformats.org/officeDocument/2006/relationships" ref="D58" r:id="rId46"/>
    <hyperlink xmlns:r="http://schemas.openxmlformats.org/officeDocument/2006/relationships" ref="D59" r:id="rId47"/>
    <hyperlink xmlns:r="http://schemas.openxmlformats.org/officeDocument/2006/relationships" ref="D60" r:id="rId48"/>
    <hyperlink xmlns:r="http://schemas.openxmlformats.org/officeDocument/2006/relationships" ref="D67" r:id="rId49"/>
    <hyperlink xmlns:r="http://schemas.openxmlformats.org/officeDocument/2006/relationships" ref="D78" r:id="rId5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A. 换电车辆计算链（参数名写法；数值见以下各表）</t>
        </is>
      </c>
    </row>
    <row r="2">
      <c r="A2" s="36" t="inlineStr">
        <is>
          <t>换电车辆(v) = Σ_{y=2026..2030} Σ_{s∈场景} 进宁德(v,s,y)  ＋ 首年存量结转(v, 仅 y=2026)</t>
        </is>
      </c>
    </row>
    <row r="3">
      <c r="A3" s="36" t="inlineStr">
        <is>
          <t>进宁德(v,s,y) = 当年电动新增(v,y) × 场景权重(v,s) × 换电渗透率(v,s) × min(1, CATL份额(v,s)+份额上修(v))</t>
        </is>
      </c>
    </row>
    <row r="4">
      <c r="A4" s="36" t="inlineStr">
        <is>
          <t xml:space="preserve">              ＋ (y==2026 ? 存量结转(v,s) : 0)</t>
        </is>
      </c>
    </row>
    <row r="5">
      <c r="A5" s="36" t="inlineStr">
        <is>
          <t>当年电动新增(v,y) =</t>
        </is>
      </c>
    </row>
    <row r="6">
      <c r="A6" s="36" t="inlineStr">
        <is>
          <t xml:space="preserve">  · 保有口径(重卡/城配/出租/网约): vehicles.{v}.stock_wan ÷ replacement_cycle_years × vehicles.{v}.nev_rates[y] × pure_electric_share</t>
        </is>
      </c>
    </row>
    <row r="7">
      <c r="A7" s="36" t="inlineStr">
        <is>
          <t xml:space="preserve">      其中 出租/网约 stock_wan 由 [operating_demand] 里程池反推 = (pool_2030_yi_km − robotaxi里程) ÷ (human_daily_km×human_days) − taxi_stock_wan</t>
        </is>
      </c>
    </row>
    <row r="8">
      <c r="A8" s="36" t="inlineStr">
        <is>
          <t xml:space="preserve">  · 净增口径(私家/Robotaxi): vehicles.{v}.annual_net_additions_wan[y] × pure_electric_share</t>
        </is>
      </c>
    </row>
    <row r="9">
      <c r="A9" s="36" t="inlineStr">
        <is>
          <t>换电渗透率(v,s) = 私家车 ? scenario_swap_penetration.{保守/中枢/激进}[价格带] : vehicles.{v}.scenes[s].swap_penetration</t>
        </is>
      </c>
    </row>
    <row r="10">
      <c r="A10" s="36" t="inlineStr">
        <is>
          <t>份额上修(v) = mna.启源入股_不收蔚来.{heavy/passenger}_catl_swap_share_uplift</t>
        </is>
      </c>
    </row>
    <row r="11">
      <c r="A11" s="36" t="inlineStr">
        <is>
          <t>说明: 模型内 换电渗透率/CATL份额 分场景恒定(不随年变); 仅 NEV渗透率 逐年 S 曲线、私家车三情景不同。逐年限值见「换电车辆漏斗逐年明细」sheet</t>
        </is>
      </c>
    </row>
    <row r="13">
      <c r="A13" s="32" t="inlineStr">
        <is>
          <t>B. 当年电动新增 base_add（万辆/年）＝进入电动漏斗的当年新增（逐年不同）</t>
        </is>
      </c>
    </row>
    <row r="14">
      <c r="A14" s="3" t="inlineStr">
        <is>
          <t>车型</t>
        </is>
      </c>
      <c r="B14" s="3" t="inlineStr">
        <is>
          <t>2026</t>
        </is>
      </c>
      <c r="C14" s="3" t="inlineStr">
        <is>
          <t>2027</t>
        </is>
      </c>
      <c r="D14" s="3" t="inlineStr">
        <is>
          <t>2028</t>
        </is>
      </c>
      <c r="E14" s="3" t="inlineStr">
        <is>
          <t>2029</t>
        </is>
      </c>
      <c r="F14" s="3" t="inlineStr">
        <is>
          <t>2030</t>
        </is>
      </c>
    </row>
    <row r="15">
      <c r="A15" s="12" t="inlineStr">
        <is>
          <t>重卡</t>
        </is>
      </c>
      <c r="B15" s="37" t="n">
        <v>35</v>
      </c>
      <c r="C15" s="37" t="n">
        <v>43</v>
      </c>
      <c r="D15" s="37" t="n">
        <v>46</v>
      </c>
      <c r="E15" s="37" t="n">
        <v>48</v>
      </c>
      <c r="F15" s="37" t="n">
        <v>50</v>
      </c>
    </row>
    <row r="16">
      <c r="A16" s="12" t="inlineStr">
        <is>
          <t>城配物流</t>
        </is>
      </c>
      <c r="B16" s="37" t="n">
        <v>93.8</v>
      </c>
      <c r="C16" s="37" t="n">
        <v>121.9</v>
      </c>
      <c r="D16" s="37" t="n">
        <v>150</v>
      </c>
      <c r="E16" s="37" t="n">
        <v>168.8</v>
      </c>
      <c r="F16" s="37" t="n">
        <v>178.1</v>
      </c>
    </row>
    <row r="17">
      <c r="A17" s="12" t="inlineStr">
        <is>
          <t>出租车</t>
        </is>
      </c>
      <c r="B17" s="37" t="n">
        <v>10.8</v>
      </c>
      <c r="C17" s="37" t="n">
        <v>13.2</v>
      </c>
      <c r="D17" s="37" t="n">
        <v>14.9</v>
      </c>
      <c r="E17" s="37" t="n">
        <v>15.7</v>
      </c>
      <c r="F17" s="37" t="n">
        <v>16.5</v>
      </c>
    </row>
    <row r="18">
      <c r="A18" s="12" t="inlineStr">
        <is>
          <t>网约车</t>
        </is>
      </c>
      <c r="B18" s="37" t="n">
        <v>9.800000000000001</v>
      </c>
      <c r="C18" s="37" t="n">
        <v>12.1</v>
      </c>
      <c r="D18" s="37" t="n">
        <v>13.6</v>
      </c>
      <c r="E18" s="37" t="n">
        <v>14.3</v>
      </c>
      <c r="F18" s="37" t="n">
        <v>15.1</v>
      </c>
    </row>
    <row r="19">
      <c r="A19" s="12" t="inlineStr">
        <is>
          <t>Robotaxi</t>
        </is>
      </c>
      <c r="B19" s="37" t="n">
        <v>0</v>
      </c>
      <c r="C19" s="37" t="n">
        <v>0</v>
      </c>
      <c r="D19" s="37" t="n">
        <v>5</v>
      </c>
      <c r="E19" s="37" t="n">
        <v>15</v>
      </c>
      <c r="F19" s="37" t="n">
        <v>30</v>
      </c>
    </row>
    <row r="20">
      <c r="A20" s="12" t="inlineStr">
        <is>
          <t>私家车</t>
        </is>
      </c>
      <c r="B20" s="37" t="n">
        <v>1200</v>
      </c>
      <c r="C20" s="37" t="n">
        <v>1300</v>
      </c>
      <c r="D20" s="37" t="n">
        <v>1600</v>
      </c>
      <c r="E20" s="37" t="n">
        <v>2000</v>
      </c>
      <c r="F20" s="37" t="n">
        <v>2300</v>
      </c>
    </row>
    <row r="22">
      <c r="A22" s="32" t="inlineStr">
        <is>
          <t>B2. NEV渗透率 nev_rates[y]（营运车·逐年）  ／  净增 annual_net_additions_wan[y]（私家·Robotaxi）</t>
        </is>
      </c>
    </row>
    <row r="23">
      <c r="A23" s="3" t="inlineStr">
        <is>
          <t>车型</t>
        </is>
      </c>
      <c r="B23" s="3" t="inlineStr">
        <is>
          <t>2026</t>
        </is>
      </c>
      <c r="C23" s="3" t="inlineStr">
        <is>
          <t>2027</t>
        </is>
      </c>
      <c r="D23" s="3" t="inlineStr">
        <is>
          <t>2028</t>
        </is>
      </c>
      <c r="E23" s="3" t="inlineStr">
        <is>
          <t>2029</t>
        </is>
      </c>
      <c r="F23" s="3" t="inlineStr">
        <is>
          <t>2030</t>
        </is>
      </c>
    </row>
    <row r="24">
      <c r="A24" s="12" t="inlineStr">
        <is>
          <t>重卡</t>
        </is>
      </c>
      <c r="B24" s="12" t="inlineStr">
        <is>
          <t>35%</t>
        </is>
      </c>
      <c r="C24" s="12" t="inlineStr">
        <is>
          <t>43%</t>
        </is>
      </c>
      <c r="D24" s="12" t="inlineStr">
        <is>
          <t>46%</t>
        </is>
      </c>
      <c r="E24" s="12" t="inlineStr">
        <is>
          <t>48%</t>
        </is>
      </c>
      <c r="F24" s="12" t="inlineStr">
        <is>
          <t>50%</t>
        </is>
      </c>
    </row>
    <row r="25">
      <c r="A25" s="12" t="inlineStr">
        <is>
          <t>城配物流</t>
        </is>
      </c>
      <c r="B25" s="12" t="inlineStr">
        <is>
          <t>50%</t>
        </is>
      </c>
      <c r="C25" s="12" t="inlineStr">
        <is>
          <t>65%</t>
        </is>
      </c>
      <c r="D25" s="12" t="inlineStr">
        <is>
          <t>80%</t>
        </is>
      </c>
      <c r="E25" s="12" t="inlineStr">
        <is>
          <t>90%</t>
        </is>
      </c>
      <c r="F25" s="12" t="inlineStr">
        <is>
          <t>95%</t>
        </is>
      </c>
    </row>
    <row r="26">
      <c r="A26" s="12" t="inlineStr">
        <is>
          <t>出租车</t>
        </is>
      </c>
      <c r="B26" s="12" t="inlineStr">
        <is>
          <t>65%</t>
        </is>
      </c>
      <c r="C26" s="12" t="inlineStr">
        <is>
          <t>80%</t>
        </is>
      </c>
      <c r="D26" s="12" t="inlineStr">
        <is>
          <t>90%</t>
        </is>
      </c>
      <c r="E26" s="12" t="inlineStr">
        <is>
          <t>95%</t>
        </is>
      </c>
      <c r="F26" s="12" t="inlineStr">
        <is>
          <t>100%</t>
        </is>
      </c>
    </row>
    <row r="27">
      <c r="A27" s="12" t="inlineStr">
        <is>
          <t>网约车</t>
        </is>
      </c>
      <c r="B27" s="12" t="inlineStr">
        <is>
          <t>65%</t>
        </is>
      </c>
      <c r="C27" s="12" t="inlineStr">
        <is>
          <t>80%</t>
        </is>
      </c>
      <c r="D27" s="12" t="inlineStr">
        <is>
          <t>90%</t>
        </is>
      </c>
      <c r="E27" s="12" t="inlineStr">
        <is>
          <t>95%</t>
        </is>
      </c>
      <c r="F27" s="12" t="inlineStr">
        <is>
          <t>100%</t>
        </is>
      </c>
    </row>
    <row r="28">
      <c r="A28" s="12" t="inlineStr">
        <is>
          <t>Robotaxi</t>
        </is>
      </c>
      <c r="B28" s="12" t="inlineStr">
        <is>
          <t>0</t>
        </is>
      </c>
      <c r="C28" s="12" t="inlineStr">
        <is>
          <t>0</t>
        </is>
      </c>
      <c r="D28" s="12" t="inlineStr">
        <is>
          <t>5</t>
        </is>
      </c>
      <c r="E28" s="12" t="inlineStr">
        <is>
          <t>15</t>
        </is>
      </c>
      <c r="F28" s="12" t="inlineStr">
        <is>
          <t>30</t>
        </is>
      </c>
    </row>
    <row r="29">
      <c r="A29" s="12" t="inlineStr">
        <is>
          <t>私家车</t>
        </is>
      </c>
      <c r="B29" s="12" t="inlineStr">
        <is>
          <t>1200</t>
        </is>
      </c>
      <c r="C29" s="12" t="inlineStr">
        <is>
          <t>1300</t>
        </is>
      </c>
      <c r="D29" s="12" t="inlineStr">
        <is>
          <t>1600</t>
        </is>
      </c>
      <c r="E29" s="12" t="inlineStr">
        <is>
          <t>2000</t>
        </is>
      </c>
      <c r="F29" s="12" t="inlineStr">
        <is>
          <t>2300</t>
        </is>
      </c>
    </row>
    <row r="31">
      <c r="A31" s="32" t="inlineStr">
        <is>
          <t>C. 分场景结构（中性情景；换电渗透/CATL份额 模型内逐年恒定，不随年变）</t>
        </is>
      </c>
    </row>
    <row r="32">
      <c r="A32" s="3" t="inlineStr">
        <is>
          <t>车型</t>
        </is>
      </c>
      <c r="B32" s="3" t="inlineStr">
        <is>
          <t>场景</t>
        </is>
      </c>
      <c r="C32" s="3" t="inlineStr">
        <is>
          <t>场景权重</t>
        </is>
      </c>
      <c r="D32" s="3" t="inlineStr">
        <is>
          <t>换电渗透率</t>
        </is>
      </c>
      <c r="E32" s="3" t="inlineStr">
        <is>
          <t>CATL份额</t>
        </is>
      </c>
    </row>
    <row r="33">
      <c r="A33" s="12" t="inlineStr">
        <is>
          <t>重卡</t>
        </is>
      </c>
      <c r="B33" s="12" t="inlineStr">
        <is>
          <t>短途</t>
        </is>
      </c>
      <c r="C33" s="38" t="n">
        <v>0.38</v>
      </c>
      <c r="D33" s="12" t="inlineStr">
        <is>
          <t>30%</t>
        </is>
      </c>
      <c r="E33" s="12" t="inlineStr">
        <is>
          <t>30%</t>
        </is>
      </c>
    </row>
    <row r="34">
      <c r="A34" s="12" t="inlineStr">
        <is>
          <t>重卡</t>
        </is>
      </c>
      <c r="B34" s="12" t="inlineStr">
        <is>
          <t>中途</t>
        </is>
      </c>
      <c r="C34" s="38" t="n">
        <v>0.5</v>
      </c>
      <c r="D34" s="12" t="inlineStr">
        <is>
          <t>50%</t>
        </is>
      </c>
      <c r="E34" s="12" t="inlineStr">
        <is>
          <t>30%</t>
        </is>
      </c>
    </row>
    <row r="35">
      <c r="A35" s="12" t="inlineStr">
        <is>
          <t>重卡</t>
        </is>
      </c>
      <c r="B35" s="12" t="inlineStr">
        <is>
          <t>长途</t>
        </is>
      </c>
      <c r="C35" s="38" t="n">
        <v>0.12</v>
      </c>
      <c r="D35" s="12" t="inlineStr">
        <is>
          <t>70%</t>
        </is>
      </c>
      <c r="E35" s="12" t="inlineStr">
        <is>
          <t>70%</t>
        </is>
      </c>
    </row>
    <row r="36">
      <c r="A36" s="12" t="inlineStr">
        <is>
          <t>重卡</t>
        </is>
      </c>
      <c r="B36" s="12" t="inlineStr">
        <is>
          <t>短途</t>
        </is>
      </c>
      <c r="C36" s="38" t="n">
        <v>0.38</v>
      </c>
      <c r="D36" s="12" t="inlineStr">
        <is>
          <t>30%</t>
        </is>
      </c>
      <c r="E36" s="12" t="inlineStr">
        <is>
          <t>30%</t>
        </is>
      </c>
    </row>
    <row r="37">
      <c r="A37" s="12" t="inlineStr">
        <is>
          <t>重卡</t>
        </is>
      </c>
      <c r="B37" s="12" t="inlineStr">
        <is>
          <t>中途</t>
        </is>
      </c>
      <c r="C37" s="38" t="n">
        <v>0.5</v>
      </c>
      <c r="D37" s="12" t="inlineStr">
        <is>
          <t>50%</t>
        </is>
      </c>
      <c r="E37" s="12" t="inlineStr">
        <is>
          <t>30%</t>
        </is>
      </c>
    </row>
    <row r="38">
      <c r="A38" s="12" t="inlineStr">
        <is>
          <t>重卡</t>
        </is>
      </c>
      <c r="B38" s="12" t="inlineStr">
        <is>
          <t>长途</t>
        </is>
      </c>
      <c r="C38" s="38" t="n">
        <v>0.12</v>
      </c>
      <c r="D38" s="12" t="inlineStr">
        <is>
          <t>70%</t>
        </is>
      </c>
      <c r="E38" s="12" t="inlineStr">
        <is>
          <t>70%</t>
        </is>
      </c>
    </row>
    <row r="39">
      <c r="A39" s="12" t="inlineStr">
        <is>
          <t>重卡</t>
        </is>
      </c>
      <c r="B39" s="12" t="inlineStr">
        <is>
          <t>短途</t>
        </is>
      </c>
      <c r="C39" s="38" t="n">
        <v>0.38</v>
      </c>
      <c r="D39" s="12" t="inlineStr">
        <is>
          <t>30%</t>
        </is>
      </c>
      <c r="E39" s="12" t="inlineStr">
        <is>
          <t>30%</t>
        </is>
      </c>
    </row>
    <row r="40">
      <c r="A40" s="12" t="inlineStr">
        <is>
          <t>重卡</t>
        </is>
      </c>
      <c r="B40" s="12" t="inlineStr">
        <is>
          <t>中途</t>
        </is>
      </c>
      <c r="C40" s="38" t="n">
        <v>0.5</v>
      </c>
      <c r="D40" s="12" t="inlineStr">
        <is>
          <t>50%</t>
        </is>
      </c>
      <c r="E40" s="12" t="inlineStr">
        <is>
          <t>30%</t>
        </is>
      </c>
    </row>
    <row r="41">
      <c r="A41" s="12" t="inlineStr">
        <is>
          <t>重卡</t>
        </is>
      </c>
      <c r="B41" s="12" t="inlineStr">
        <is>
          <t>长途</t>
        </is>
      </c>
      <c r="C41" s="38" t="n">
        <v>0.12</v>
      </c>
      <c r="D41" s="12" t="inlineStr">
        <is>
          <t>70%</t>
        </is>
      </c>
      <c r="E41" s="12" t="inlineStr">
        <is>
          <t>70%</t>
        </is>
      </c>
    </row>
    <row r="42">
      <c r="A42" s="12" t="inlineStr">
        <is>
          <t>重卡</t>
        </is>
      </c>
      <c r="B42" s="12" t="inlineStr">
        <is>
          <t>短途</t>
        </is>
      </c>
      <c r="C42" s="38" t="n">
        <v>0.38</v>
      </c>
      <c r="D42" s="12" t="inlineStr">
        <is>
          <t>30%</t>
        </is>
      </c>
      <c r="E42" s="12" t="inlineStr">
        <is>
          <t>30%</t>
        </is>
      </c>
    </row>
    <row r="43">
      <c r="A43" s="12" t="inlineStr">
        <is>
          <t>重卡</t>
        </is>
      </c>
      <c r="B43" s="12" t="inlineStr">
        <is>
          <t>中途</t>
        </is>
      </c>
      <c r="C43" s="38" t="n">
        <v>0.5</v>
      </c>
      <c r="D43" s="12" t="inlineStr">
        <is>
          <t>50%</t>
        </is>
      </c>
      <c r="E43" s="12" t="inlineStr">
        <is>
          <t>30%</t>
        </is>
      </c>
    </row>
    <row r="44">
      <c r="A44" s="12" t="inlineStr">
        <is>
          <t>重卡</t>
        </is>
      </c>
      <c r="B44" s="12" t="inlineStr">
        <is>
          <t>长途</t>
        </is>
      </c>
      <c r="C44" s="38" t="n">
        <v>0.12</v>
      </c>
      <c r="D44" s="12" t="inlineStr">
        <is>
          <t>70%</t>
        </is>
      </c>
      <c r="E44" s="12" t="inlineStr">
        <is>
          <t>70%</t>
        </is>
      </c>
    </row>
    <row r="45">
      <c r="A45" s="12" t="inlineStr">
        <is>
          <t>重卡</t>
        </is>
      </c>
      <c r="B45" s="12" t="inlineStr">
        <is>
          <t>短途</t>
        </is>
      </c>
      <c r="C45" s="38" t="n">
        <v>0.38</v>
      </c>
      <c r="D45" s="12" t="inlineStr">
        <is>
          <t>30%</t>
        </is>
      </c>
      <c r="E45" s="12" t="inlineStr">
        <is>
          <t>30%</t>
        </is>
      </c>
    </row>
    <row r="46">
      <c r="A46" s="12" t="inlineStr">
        <is>
          <t>重卡</t>
        </is>
      </c>
      <c r="B46" s="12" t="inlineStr">
        <is>
          <t>中途</t>
        </is>
      </c>
      <c r="C46" s="38" t="n">
        <v>0.5</v>
      </c>
      <c r="D46" s="12" t="inlineStr">
        <is>
          <t>50%</t>
        </is>
      </c>
      <c r="E46" s="12" t="inlineStr">
        <is>
          <t>30%</t>
        </is>
      </c>
    </row>
    <row r="47">
      <c r="A47" s="12" t="inlineStr">
        <is>
          <t>重卡</t>
        </is>
      </c>
      <c r="B47" s="12" t="inlineStr">
        <is>
          <t>长途</t>
        </is>
      </c>
      <c r="C47" s="38" t="n">
        <v>0.12</v>
      </c>
      <c r="D47" s="12" t="inlineStr">
        <is>
          <t>70%</t>
        </is>
      </c>
      <c r="E47" s="12" t="inlineStr">
        <is>
          <t>70%</t>
        </is>
      </c>
    </row>
    <row r="48">
      <c r="A48" s="12" t="inlineStr">
        <is>
          <t>城配物流</t>
        </is>
      </c>
      <c r="B48" s="12" t="inlineStr">
        <is>
          <t>高频</t>
        </is>
      </c>
      <c r="C48" s="38" t="n">
        <v>0.3</v>
      </c>
      <c r="D48" s="12" t="inlineStr">
        <is>
          <t>50%</t>
        </is>
      </c>
      <c r="E48" s="12" t="inlineStr">
        <is>
          <t>80%</t>
        </is>
      </c>
    </row>
    <row r="49">
      <c r="A49" s="12" t="inlineStr">
        <is>
          <t>城配物流</t>
        </is>
      </c>
      <c r="B49" s="12" t="inlineStr">
        <is>
          <t>低频</t>
        </is>
      </c>
      <c r="C49" s="38" t="n">
        <v>0.7</v>
      </c>
      <c r="D49" s="12" t="inlineStr">
        <is>
          <t>0%</t>
        </is>
      </c>
      <c r="E49" s="12" t="inlineStr">
        <is>
          <t>0%</t>
        </is>
      </c>
    </row>
    <row r="50">
      <c r="A50" s="12" t="inlineStr">
        <is>
          <t>城配物流</t>
        </is>
      </c>
      <c r="B50" s="12" t="inlineStr">
        <is>
          <t>高频</t>
        </is>
      </c>
      <c r="C50" s="38" t="n">
        <v>0.3</v>
      </c>
      <c r="D50" s="12" t="inlineStr">
        <is>
          <t>50%</t>
        </is>
      </c>
      <c r="E50" s="12" t="inlineStr">
        <is>
          <t>80%</t>
        </is>
      </c>
    </row>
    <row r="51">
      <c r="A51" s="12" t="inlineStr">
        <is>
          <t>城配物流</t>
        </is>
      </c>
      <c r="B51" s="12" t="inlineStr">
        <is>
          <t>低频</t>
        </is>
      </c>
      <c r="C51" s="38" t="n">
        <v>0.7</v>
      </c>
      <c r="D51" s="12" t="inlineStr">
        <is>
          <t>0%</t>
        </is>
      </c>
      <c r="E51" s="12" t="inlineStr">
        <is>
          <t>0%</t>
        </is>
      </c>
    </row>
    <row r="52">
      <c r="A52" s="12" t="inlineStr">
        <is>
          <t>城配物流</t>
        </is>
      </c>
      <c r="B52" s="12" t="inlineStr">
        <is>
          <t>高频</t>
        </is>
      </c>
      <c r="C52" s="38" t="n">
        <v>0.3</v>
      </c>
      <c r="D52" s="12" t="inlineStr">
        <is>
          <t>50%</t>
        </is>
      </c>
      <c r="E52" s="12" t="inlineStr">
        <is>
          <t>80%</t>
        </is>
      </c>
    </row>
    <row r="53">
      <c r="A53" s="12" t="inlineStr">
        <is>
          <t>城配物流</t>
        </is>
      </c>
      <c r="B53" s="12" t="inlineStr">
        <is>
          <t>低频</t>
        </is>
      </c>
      <c r="C53" s="38" t="n">
        <v>0.7</v>
      </c>
      <c r="D53" s="12" t="inlineStr">
        <is>
          <t>0%</t>
        </is>
      </c>
      <c r="E53" s="12" t="inlineStr">
        <is>
          <t>0%</t>
        </is>
      </c>
    </row>
    <row r="54">
      <c r="A54" s="12" t="inlineStr">
        <is>
          <t>城配物流</t>
        </is>
      </c>
      <c r="B54" s="12" t="inlineStr">
        <is>
          <t>高频</t>
        </is>
      </c>
      <c r="C54" s="38" t="n">
        <v>0.3</v>
      </c>
      <c r="D54" s="12" t="inlineStr">
        <is>
          <t>50%</t>
        </is>
      </c>
      <c r="E54" s="12" t="inlineStr">
        <is>
          <t>80%</t>
        </is>
      </c>
    </row>
    <row r="55">
      <c r="A55" s="12" t="inlineStr">
        <is>
          <t>城配物流</t>
        </is>
      </c>
      <c r="B55" s="12" t="inlineStr">
        <is>
          <t>低频</t>
        </is>
      </c>
      <c r="C55" s="38" t="n">
        <v>0.7</v>
      </c>
      <c r="D55" s="12" t="inlineStr">
        <is>
          <t>0%</t>
        </is>
      </c>
      <c r="E55" s="12" t="inlineStr">
        <is>
          <t>0%</t>
        </is>
      </c>
    </row>
    <row r="56">
      <c r="A56" s="12" t="inlineStr">
        <is>
          <t>城配物流</t>
        </is>
      </c>
      <c r="B56" s="12" t="inlineStr">
        <is>
          <t>高频</t>
        </is>
      </c>
      <c r="C56" s="38" t="n">
        <v>0.3</v>
      </c>
      <c r="D56" s="12" t="inlineStr">
        <is>
          <t>50%</t>
        </is>
      </c>
      <c r="E56" s="12" t="inlineStr">
        <is>
          <t>80%</t>
        </is>
      </c>
    </row>
    <row r="57">
      <c r="A57" s="12" t="inlineStr">
        <is>
          <t>城配物流</t>
        </is>
      </c>
      <c r="B57" s="12" t="inlineStr">
        <is>
          <t>低频</t>
        </is>
      </c>
      <c r="C57" s="38" t="n">
        <v>0.7</v>
      </c>
      <c r="D57" s="12" t="inlineStr">
        <is>
          <t>0%</t>
        </is>
      </c>
      <c r="E57" s="12" t="inlineStr">
        <is>
          <t>0%</t>
        </is>
      </c>
    </row>
    <row r="58">
      <c r="A58" s="12" t="inlineStr">
        <is>
          <t>出租车</t>
        </is>
      </c>
      <c r="B58" s="12" t="inlineStr">
        <is>
          <t>出租车</t>
        </is>
      </c>
      <c r="C58" s="38" t="n">
        <v>1</v>
      </c>
      <c r="D58" s="12" t="inlineStr">
        <is>
          <t>50%</t>
        </is>
      </c>
      <c r="E58" s="12" t="inlineStr">
        <is>
          <t>50%</t>
        </is>
      </c>
    </row>
    <row r="59">
      <c r="A59" s="12" t="inlineStr">
        <is>
          <t>出租车</t>
        </is>
      </c>
      <c r="B59" s="12" t="inlineStr">
        <is>
          <t>出租车</t>
        </is>
      </c>
      <c r="C59" s="38" t="n">
        <v>1</v>
      </c>
      <c r="D59" s="12" t="inlineStr">
        <is>
          <t>50%</t>
        </is>
      </c>
      <c r="E59" s="12" t="inlineStr">
        <is>
          <t>50%</t>
        </is>
      </c>
    </row>
    <row r="60">
      <c r="A60" s="12" t="inlineStr">
        <is>
          <t>出租车</t>
        </is>
      </c>
      <c r="B60" s="12" t="inlineStr">
        <is>
          <t>出租车</t>
        </is>
      </c>
      <c r="C60" s="38" t="n">
        <v>1</v>
      </c>
      <c r="D60" s="12" t="inlineStr">
        <is>
          <t>50%</t>
        </is>
      </c>
      <c r="E60" s="12" t="inlineStr">
        <is>
          <t>50%</t>
        </is>
      </c>
    </row>
    <row r="61">
      <c r="A61" s="12" t="inlineStr">
        <is>
          <t>出租车</t>
        </is>
      </c>
      <c r="B61" s="12" t="inlineStr">
        <is>
          <t>出租车</t>
        </is>
      </c>
      <c r="C61" s="38" t="n">
        <v>1</v>
      </c>
      <c r="D61" s="12" t="inlineStr">
        <is>
          <t>50%</t>
        </is>
      </c>
      <c r="E61" s="12" t="inlineStr">
        <is>
          <t>50%</t>
        </is>
      </c>
    </row>
    <row r="62">
      <c r="A62" s="12" t="inlineStr">
        <is>
          <t>出租车</t>
        </is>
      </c>
      <c r="B62" s="12" t="inlineStr">
        <is>
          <t>出租车</t>
        </is>
      </c>
      <c r="C62" s="38" t="n">
        <v>1</v>
      </c>
      <c r="D62" s="12" t="inlineStr">
        <is>
          <t>50%</t>
        </is>
      </c>
      <c r="E62" s="12" t="inlineStr">
        <is>
          <t>50%</t>
        </is>
      </c>
    </row>
    <row r="63">
      <c r="A63" s="12" t="inlineStr">
        <is>
          <t>网约车</t>
        </is>
      </c>
      <c r="B63" s="12" t="inlineStr">
        <is>
          <t>网约车</t>
        </is>
      </c>
      <c r="C63" s="38" t="n">
        <v>1</v>
      </c>
      <c r="D63" s="12" t="inlineStr">
        <is>
          <t>50%</t>
        </is>
      </c>
      <c r="E63" s="12" t="inlineStr">
        <is>
          <t>50%</t>
        </is>
      </c>
    </row>
    <row r="64">
      <c r="A64" s="12" t="inlineStr">
        <is>
          <t>网约车</t>
        </is>
      </c>
      <c r="B64" s="12" t="inlineStr">
        <is>
          <t>网约车</t>
        </is>
      </c>
      <c r="C64" s="38" t="n">
        <v>1</v>
      </c>
      <c r="D64" s="12" t="inlineStr">
        <is>
          <t>50%</t>
        </is>
      </c>
      <c r="E64" s="12" t="inlineStr">
        <is>
          <t>50%</t>
        </is>
      </c>
    </row>
    <row r="65">
      <c r="A65" s="12" t="inlineStr">
        <is>
          <t>网约车</t>
        </is>
      </c>
      <c r="B65" s="12" t="inlineStr">
        <is>
          <t>网约车</t>
        </is>
      </c>
      <c r="C65" s="38" t="n">
        <v>1</v>
      </c>
      <c r="D65" s="12" t="inlineStr">
        <is>
          <t>50%</t>
        </is>
      </c>
      <c r="E65" s="12" t="inlineStr">
        <is>
          <t>50%</t>
        </is>
      </c>
    </row>
    <row r="66">
      <c r="A66" s="12" t="inlineStr">
        <is>
          <t>网约车</t>
        </is>
      </c>
      <c r="B66" s="12" t="inlineStr">
        <is>
          <t>网约车</t>
        </is>
      </c>
      <c r="C66" s="38" t="n">
        <v>1</v>
      </c>
      <c r="D66" s="12" t="inlineStr">
        <is>
          <t>50%</t>
        </is>
      </c>
      <c r="E66" s="12" t="inlineStr">
        <is>
          <t>50%</t>
        </is>
      </c>
    </row>
    <row r="67">
      <c r="A67" s="12" t="inlineStr">
        <is>
          <t>网约车</t>
        </is>
      </c>
      <c r="B67" s="12" t="inlineStr">
        <is>
          <t>网约车</t>
        </is>
      </c>
      <c r="C67" s="38" t="n">
        <v>1</v>
      </c>
      <c r="D67" s="12" t="inlineStr">
        <is>
          <t>50%</t>
        </is>
      </c>
      <c r="E67" s="12" t="inlineStr">
        <is>
          <t>50%</t>
        </is>
      </c>
    </row>
    <row r="68">
      <c r="A68" s="12" t="inlineStr">
        <is>
          <t>Robotaxi</t>
        </is>
      </c>
      <c r="B68" s="12" t="inlineStr">
        <is>
          <t>Robotaxi</t>
        </is>
      </c>
      <c r="C68" s="38" t="n">
        <v>1</v>
      </c>
      <c r="D68" s="12" t="inlineStr">
        <is>
          <t>100%</t>
        </is>
      </c>
      <c r="E68" s="12" t="inlineStr">
        <is>
          <t>100%</t>
        </is>
      </c>
    </row>
    <row r="69">
      <c r="A69" s="12" t="inlineStr">
        <is>
          <t>Robotaxi</t>
        </is>
      </c>
      <c r="B69" s="12" t="inlineStr">
        <is>
          <t>Robotaxi</t>
        </is>
      </c>
      <c r="C69" s="38" t="n">
        <v>1</v>
      </c>
      <c r="D69" s="12" t="inlineStr">
        <is>
          <t>100%</t>
        </is>
      </c>
      <c r="E69" s="12" t="inlineStr">
        <is>
          <t>100%</t>
        </is>
      </c>
    </row>
    <row r="70">
      <c r="A70" s="12" t="inlineStr">
        <is>
          <t>Robotaxi</t>
        </is>
      </c>
      <c r="B70" s="12" t="inlineStr">
        <is>
          <t>Robotaxi</t>
        </is>
      </c>
      <c r="C70" s="38" t="n">
        <v>1</v>
      </c>
      <c r="D70" s="12" t="inlineStr">
        <is>
          <t>100%</t>
        </is>
      </c>
      <c r="E70" s="12" t="inlineStr">
        <is>
          <t>100%</t>
        </is>
      </c>
    </row>
    <row r="71">
      <c r="A71" s="12" t="inlineStr">
        <is>
          <t>Robotaxi</t>
        </is>
      </c>
      <c r="B71" s="12" t="inlineStr">
        <is>
          <t>Robotaxi</t>
        </is>
      </c>
      <c r="C71" s="38" t="n">
        <v>1</v>
      </c>
      <c r="D71" s="12" t="inlineStr">
        <is>
          <t>100%</t>
        </is>
      </c>
      <c r="E71" s="12" t="inlineStr">
        <is>
          <t>100%</t>
        </is>
      </c>
    </row>
    <row r="72">
      <c r="A72" s="12" t="inlineStr">
        <is>
          <t>Robotaxi</t>
        </is>
      </c>
      <c r="B72" s="12" t="inlineStr">
        <is>
          <t>Robotaxi</t>
        </is>
      </c>
      <c r="C72" s="38" t="n">
        <v>1</v>
      </c>
      <c r="D72" s="12" t="inlineStr">
        <is>
          <t>100%</t>
        </is>
      </c>
      <c r="E72" s="12" t="inlineStr">
        <is>
          <t>100%</t>
        </is>
      </c>
    </row>
    <row r="73">
      <c r="A73" s="12" t="inlineStr">
        <is>
          <t>私家车</t>
        </is>
      </c>
      <c r="B73" s="12" t="inlineStr">
        <is>
          <t>8万元以下</t>
        </is>
      </c>
      <c r="C73" s="38" t="n">
        <v>0.123</v>
      </c>
      <c r="D73" s="12" t="inlineStr">
        <is>
          <t>0%</t>
        </is>
      </c>
      <c r="E73" s="12" t="inlineStr">
        <is>
          <t>50%</t>
        </is>
      </c>
    </row>
    <row r="74">
      <c r="A74" s="12" t="inlineStr">
        <is>
          <t>私家车</t>
        </is>
      </c>
      <c r="B74" s="12" t="inlineStr">
        <is>
          <t>8至15万元</t>
        </is>
      </c>
      <c r="C74" s="38" t="n">
        <v>0.404</v>
      </c>
      <c r="D74" s="12" t="inlineStr">
        <is>
          <t>5%</t>
        </is>
      </c>
      <c r="E74" s="12" t="inlineStr">
        <is>
          <t>50%</t>
        </is>
      </c>
    </row>
    <row r="75">
      <c r="A75" s="12" t="inlineStr">
        <is>
          <t>私家车</t>
        </is>
      </c>
      <c r="B75" s="12" t="inlineStr">
        <is>
          <t>15万元以上</t>
        </is>
      </c>
      <c r="C75" s="38" t="n">
        <v>0.473</v>
      </c>
      <c r="D75" s="12" t="inlineStr">
        <is>
          <t>3%</t>
        </is>
      </c>
      <c r="E75" s="12" t="inlineStr">
        <is>
          <t>50%</t>
        </is>
      </c>
    </row>
    <row r="76">
      <c r="A76" s="12" t="inlineStr">
        <is>
          <t>私家车</t>
        </is>
      </c>
      <c r="B76" s="12" t="inlineStr">
        <is>
          <t>8万元以下</t>
        </is>
      </c>
      <c r="C76" s="38" t="n">
        <v>0.123</v>
      </c>
      <c r="D76" s="12" t="inlineStr">
        <is>
          <t>0%</t>
        </is>
      </c>
      <c r="E76" s="12" t="inlineStr">
        <is>
          <t>50%</t>
        </is>
      </c>
    </row>
    <row r="77">
      <c r="A77" s="12" t="inlineStr">
        <is>
          <t>私家车</t>
        </is>
      </c>
      <c r="B77" s="12" t="inlineStr">
        <is>
          <t>8至15万元</t>
        </is>
      </c>
      <c r="C77" s="38" t="n">
        <v>0.404</v>
      </c>
      <c r="D77" s="12" t="inlineStr">
        <is>
          <t>5%</t>
        </is>
      </c>
      <c r="E77" s="12" t="inlineStr">
        <is>
          <t>50%</t>
        </is>
      </c>
    </row>
    <row r="78">
      <c r="A78" s="12" t="inlineStr">
        <is>
          <t>私家车</t>
        </is>
      </c>
      <c r="B78" s="12" t="inlineStr">
        <is>
          <t>15万元以上</t>
        </is>
      </c>
      <c r="C78" s="38" t="n">
        <v>0.473</v>
      </c>
      <c r="D78" s="12" t="inlineStr">
        <is>
          <t>3%</t>
        </is>
      </c>
      <c r="E78" s="12" t="inlineStr">
        <is>
          <t>50%</t>
        </is>
      </c>
    </row>
    <row r="79">
      <c r="A79" s="12" t="inlineStr">
        <is>
          <t>私家车</t>
        </is>
      </c>
      <c r="B79" s="12" t="inlineStr">
        <is>
          <t>8万元以下</t>
        </is>
      </c>
      <c r="C79" s="38" t="n">
        <v>0.123</v>
      </c>
      <c r="D79" s="12" t="inlineStr">
        <is>
          <t>0%</t>
        </is>
      </c>
      <c r="E79" s="12" t="inlineStr">
        <is>
          <t>50%</t>
        </is>
      </c>
    </row>
    <row r="80">
      <c r="A80" s="12" t="inlineStr">
        <is>
          <t>私家车</t>
        </is>
      </c>
      <c r="B80" s="12" t="inlineStr">
        <is>
          <t>8至15万元</t>
        </is>
      </c>
      <c r="C80" s="38" t="n">
        <v>0.404</v>
      </c>
      <c r="D80" s="12" t="inlineStr">
        <is>
          <t>5%</t>
        </is>
      </c>
      <c r="E80" s="12" t="inlineStr">
        <is>
          <t>50%</t>
        </is>
      </c>
    </row>
    <row r="81">
      <c r="A81" s="12" t="inlineStr">
        <is>
          <t>私家车</t>
        </is>
      </c>
      <c r="B81" s="12" t="inlineStr">
        <is>
          <t>15万元以上</t>
        </is>
      </c>
      <c r="C81" s="38" t="n">
        <v>0.473</v>
      </c>
      <c r="D81" s="12" t="inlineStr">
        <is>
          <t>3%</t>
        </is>
      </c>
      <c r="E81" s="12" t="inlineStr">
        <is>
          <t>50%</t>
        </is>
      </c>
    </row>
    <row r="82">
      <c r="A82" s="12" t="inlineStr">
        <is>
          <t>私家车</t>
        </is>
      </c>
      <c r="B82" s="12" t="inlineStr">
        <is>
          <t>8万元以下</t>
        </is>
      </c>
      <c r="C82" s="38" t="n">
        <v>0.123</v>
      </c>
      <c r="D82" s="12" t="inlineStr">
        <is>
          <t>0%</t>
        </is>
      </c>
      <c r="E82" s="12" t="inlineStr">
        <is>
          <t>50%</t>
        </is>
      </c>
    </row>
    <row r="83">
      <c r="A83" s="12" t="inlineStr">
        <is>
          <t>私家车</t>
        </is>
      </c>
      <c r="B83" s="12" t="inlineStr">
        <is>
          <t>8至15万元</t>
        </is>
      </c>
      <c r="C83" s="38" t="n">
        <v>0.404</v>
      </c>
      <c r="D83" s="12" t="inlineStr">
        <is>
          <t>5%</t>
        </is>
      </c>
      <c r="E83" s="12" t="inlineStr">
        <is>
          <t>50%</t>
        </is>
      </c>
    </row>
    <row r="84">
      <c r="A84" s="12" t="inlineStr">
        <is>
          <t>私家车</t>
        </is>
      </c>
      <c r="B84" s="12" t="inlineStr">
        <is>
          <t>15万元以上</t>
        </is>
      </c>
      <c r="C84" s="38" t="n">
        <v>0.473</v>
      </c>
      <c r="D84" s="12" t="inlineStr">
        <is>
          <t>3%</t>
        </is>
      </c>
      <c r="E84" s="12" t="inlineStr">
        <is>
          <t>50%</t>
        </is>
      </c>
    </row>
    <row r="85">
      <c r="A85" s="12" t="inlineStr">
        <is>
          <t>私家车</t>
        </is>
      </c>
      <c r="B85" s="12" t="inlineStr">
        <is>
          <t>8万元以下</t>
        </is>
      </c>
      <c r="C85" s="38" t="n">
        <v>0.123</v>
      </c>
      <c r="D85" s="12" t="inlineStr">
        <is>
          <t>0%</t>
        </is>
      </c>
      <c r="E85" s="12" t="inlineStr">
        <is>
          <t>50%</t>
        </is>
      </c>
    </row>
    <row r="86">
      <c r="A86" s="12" t="inlineStr">
        <is>
          <t>私家车</t>
        </is>
      </c>
      <c r="B86" s="12" t="inlineStr">
        <is>
          <t>8至15万元</t>
        </is>
      </c>
      <c r="C86" s="38" t="n">
        <v>0.404</v>
      </c>
      <c r="D86" s="12" t="inlineStr">
        <is>
          <t>5%</t>
        </is>
      </c>
      <c r="E86" s="12" t="inlineStr">
        <is>
          <t>50%</t>
        </is>
      </c>
    </row>
    <row r="87">
      <c r="A87" s="12" t="inlineStr">
        <is>
          <t>私家车</t>
        </is>
      </c>
      <c r="B87" s="12" t="inlineStr">
        <is>
          <t>15万元以上</t>
        </is>
      </c>
      <c r="C87" s="38" t="n">
        <v>0.473</v>
      </c>
      <c r="D87" s="12" t="inlineStr">
        <is>
          <t>3%</t>
        </is>
      </c>
      <c r="E87" s="12" t="inlineStr">
        <is>
          <t>50%</t>
        </is>
      </c>
    </row>
    <row r="89">
      <c r="A89" s="32" t="inlineStr">
        <is>
          <t>D. 私家车分价格带换电渗透率（三情景不同）＝ scenario_swap_penetration</t>
        </is>
      </c>
    </row>
    <row r="90">
      <c r="A90" s="3" t="inlineStr">
        <is>
          <t>价格带</t>
        </is>
      </c>
      <c r="B90" s="3" t="inlineStr">
        <is>
          <t>悲观</t>
        </is>
      </c>
      <c r="C90" s="3" t="inlineStr">
        <is>
          <t>中性</t>
        </is>
      </c>
      <c r="D90" s="3" t="inlineStr">
        <is>
          <t>乐观</t>
        </is>
      </c>
    </row>
    <row r="91">
      <c r="A91" s="12" t="inlineStr">
        <is>
          <t>8万元以下</t>
        </is>
      </c>
      <c r="B91" s="12" t="inlineStr">
        <is>
          <t>0%</t>
        </is>
      </c>
      <c r="C91" s="12" t="inlineStr">
        <is>
          <t>0%</t>
        </is>
      </c>
      <c r="D91" s="12" t="inlineStr">
        <is>
          <t>3%</t>
        </is>
      </c>
    </row>
    <row r="92">
      <c r="A92" s="12" t="inlineStr">
        <is>
          <t>8至15万元</t>
        </is>
      </c>
      <c r="B92" s="12" t="inlineStr">
        <is>
          <t>3%</t>
        </is>
      </c>
      <c r="C92" s="12" t="inlineStr">
        <is>
          <t>5%</t>
        </is>
      </c>
      <c r="D92" s="12" t="inlineStr">
        <is>
          <t>8%</t>
        </is>
      </c>
    </row>
    <row r="93">
      <c r="A93" s="12" t="inlineStr">
        <is>
          <t>15万元以上</t>
        </is>
      </c>
      <c r="B93" s="12" t="inlineStr">
        <is>
          <t>0%</t>
        </is>
      </c>
      <c r="C93" s="12" t="inlineStr">
        <is>
          <t>3%</t>
        </is>
      </c>
      <c r="D93" s="12" t="inlineStr">
        <is>
          <t>5%</t>
        </is>
      </c>
    </row>
    <row r="95">
      <c r="A95" s="32" t="inlineStr">
        <is>
          <t>E. 进宁德换电车辆（万辆）逐年明细（中性情景）＝ Σ场景 catl_swap(v,s,y)</t>
        </is>
      </c>
    </row>
    <row r="96">
      <c r="A96" s="3" t="inlineStr">
        <is>
          <t>车型</t>
        </is>
      </c>
      <c r="B96" s="3" t="inlineStr">
        <is>
          <t>场景</t>
        </is>
      </c>
      <c r="C96" s="3" t="inlineStr">
        <is>
          <t>2026</t>
        </is>
      </c>
      <c r="D96" s="3" t="inlineStr">
        <is>
          <t>2027</t>
        </is>
      </c>
      <c r="E96" s="3" t="inlineStr">
        <is>
          <t>2028</t>
        </is>
      </c>
      <c r="F96" s="3" t="inlineStr">
        <is>
          <t>2029</t>
        </is>
      </c>
      <c r="G96" s="3" t="inlineStr">
        <is>
          <t>2030</t>
        </is>
      </c>
      <c r="H96" s="3" t="inlineStr">
        <is>
          <t>终局合计</t>
        </is>
      </c>
    </row>
    <row r="97">
      <c r="A97" s="12" t="inlineStr">
        <is>
          <t>重卡</t>
        </is>
      </c>
      <c r="B97" s="12" t="inlineStr">
        <is>
          <t>短途</t>
        </is>
      </c>
      <c r="C97" s="37" t="n">
        <v>1.3</v>
      </c>
      <c r="D97" s="37" t="n">
        <v>1.5</v>
      </c>
      <c r="E97" s="37" t="n">
        <v>1.6</v>
      </c>
      <c r="F97" s="37" t="n">
        <v>1.6</v>
      </c>
      <c r="G97" s="37" t="n">
        <v>1.7</v>
      </c>
      <c r="H97" s="37" t="n">
        <v>7.7</v>
      </c>
    </row>
    <row r="98">
      <c r="A98" s="12" t="inlineStr">
        <is>
          <t>重卡</t>
        </is>
      </c>
      <c r="B98" s="12" t="inlineStr">
        <is>
          <t>中途</t>
        </is>
      </c>
      <c r="C98" s="37" t="n">
        <v>2.9</v>
      </c>
      <c r="D98" s="37" t="n">
        <v>3.2</v>
      </c>
      <c r="E98" s="37" t="n">
        <v>3.4</v>
      </c>
      <c r="F98" s="37" t="n">
        <v>3.6</v>
      </c>
      <c r="G98" s="37" t="n">
        <v>3.8</v>
      </c>
      <c r="H98" s="37" t="n">
        <v>17</v>
      </c>
    </row>
    <row r="99">
      <c r="A99" s="12" t="inlineStr">
        <is>
          <t>重卡</t>
        </is>
      </c>
      <c r="B99" s="12" t="inlineStr">
        <is>
          <t>长途</t>
        </is>
      </c>
      <c r="C99" s="37" t="n">
        <v>2.3</v>
      </c>
      <c r="D99" s="37" t="n">
        <v>2.5</v>
      </c>
      <c r="E99" s="37" t="n">
        <v>2.7</v>
      </c>
      <c r="F99" s="37" t="n">
        <v>2.8</v>
      </c>
      <c r="G99" s="37" t="n">
        <v>2.9</v>
      </c>
      <c r="H99" s="37" t="n">
        <v>13.3</v>
      </c>
    </row>
    <row r="100">
      <c r="A100" s="12" t="inlineStr">
        <is>
          <t>城配物流</t>
        </is>
      </c>
      <c r="B100" s="12" t="inlineStr">
        <is>
          <t>高频</t>
        </is>
      </c>
      <c r="C100" s="37" t="n">
        <v>11.2</v>
      </c>
      <c r="D100" s="37" t="n">
        <v>14.6</v>
      </c>
      <c r="E100" s="37" t="n">
        <v>18</v>
      </c>
      <c r="F100" s="37" t="n">
        <v>20.2</v>
      </c>
      <c r="G100" s="37" t="n">
        <v>21.4</v>
      </c>
      <c r="H100" s="37" t="n">
        <v>85.5</v>
      </c>
    </row>
    <row r="101">
      <c r="A101" s="12" t="inlineStr">
        <is>
          <t>城配物流</t>
        </is>
      </c>
      <c r="B101" s="12" t="inlineStr">
        <is>
          <t>低频</t>
        </is>
      </c>
      <c r="C101" s="37" t="n">
        <v>0</v>
      </c>
      <c r="D101" s="37" t="n">
        <v>0</v>
      </c>
      <c r="E101" s="37" t="n">
        <v>0</v>
      </c>
      <c r="F101" s="37" t="n">
        <v>0</v>
      </c>
      <c r="G101" s="37" t="n">
        <v>0</v>
      </c>
      <c r="H101" s="37" t="n">
        <v>0</v>
      </c>
    </row>
    <row r="102">
      <c r="A102" s="12" t="inlineStr">
        <is>
          <t>出租车</t>
        </is>
      </c>
      <c r="B102" s="12" t="inlineStr">
        <is>
          <t>出租车</t>
        </is>
      </c>
      <c r="C102" s="37" t="n">
        <v>2.7</v>
      </c>
      <c r="D102" s="37" t="n">
        <v>3.3</v>
      </c>
      <c r="E102" s="37" t="n">
        <v>3.7</v>
      </c>
      <c r="F102" s="37" t="n">
        <v>3.9</v>
      </c>
      <c r="G102" s="37" t="n">
        <v>4.1</v>
      </c>
      <c r="H102" s="37" t="n">
        <v>17.8</v>
      </c>
    </row>
    <row r="103">
      <c r="A103" s="12" t="inlineStr">
        <is>
          <t>网约车</t>
        </is>
      </c>
      <c r="B103" s="12" t="inlineStr">
        <is>
          <t>网约车</t>
        </is>
      </c>
      <c r="C103" s="37" t="n">
        <v>2.5</v>
      </c>
      <c r="D103" s="37" t="n">
        <v>3</v>
      </c>
      <c r="E103" s="37" t="n">
        <v>3.4</v>
      </c>
      <c r="F103" s="37" t="n">
        <v>3.6</v>
      </c>
      <c r="G103" s="37" t="n">
        <v>3.8</v>
      </c>
      <c r="H103" s="37" t="n">
        <v>16.2</v>
      </c>
    </row>
    <row r="104">
      <c r="A104" s="12" t="inlineStr">
        <is>
          <t>Robotaxi</t>
        </is>
      </c>
      <c r="B104" s="12" t="inlineStr">
        <is>
          <t>Robotaxi</t>
        </is>
      </c>
      <c r="C104" s="37" t="n">
        <v>0</v>
      </c>
      <c r="D104" s="37" t="n">
        <v>0</v>
      </c>
      <c r="E104" s="37" t="n">
        <v>5</v>
      </c>
      <c r="F104" s="37" t="n">
        <v>15</v>
      </c>
      <c r="G104" s="37" t="n">
        <v>30</v>
      </c>
      <c r="H104" s="37" t="n">
        <v>50</v>
      </c>
    </row>
    <row r="105">
      <c r="A105" s="12" t="inlineStr">
        <is>
          <t>私家车</t>
        </is>
      </c>
      <c r="B105" s="12" t="inlineStr">
        <is>
          <t>8万元以下</t>
        </is>
      </c>
      <c r="C105" s="37" t="n">
        <v>0</v>
      </c>
      <c r="D105" s="37" t="n">
        <v>0</v>
      </c>
      <c r="E105" s="37" t="n">
        <v>0</v>
      </c>
      <c r="F105" s="37" t="n">
        <v>0</v>
      </c>
      <c r="G105" s="37" t="n">
        <v>0</v>
      </c>
      <c r="H105" s="37" t="n">
        <v>0</v>
      </c>
    </row>
    <row r="106">
      <c r="A106" s="12" t="inlineStr">
        <is>
          <t>私家车</t>
        </is>
      </c>
      <c r="B106" s="12" t="inlineStr">
        <is>
          <t>8至15万元</t>
        </is>
      </c>
      <c r="C106" s="37" t="n">
        <v>12.1</v>
      </c>
      <c r="D106" s="37" t="n">
        <v>13.1</v>
      </c>
      <c r="E106" s="37" t="n">
        <v>16.2</v>
      </c>
      <c r="F106" s="37" t="n">
        <v>20.2</v>
      </c>
      <c r="G106" s="37" t="n">
        <v>23.2</v>
      </c>
      <c r="H106" s="37" t="n">
        <v>84.8</v>
      </c>
    </row>
    <row r="107">
      <c r="A107" s="12" t="inlineStr">
        <is>
          <t>私家车</t>
        </is>
      </c>
      <c r="B107" s="12" t="inlineStr">
        <is>
          <t>15万元以上</t>
        </is>
      </c>
      <c r="C107" s="37" t="n">
        <v>8.5</v>
      </c>
      <c r="D107" s="37" t="n">
        <v>9.199999999999999</v>
      </c>
      <c r="E107" s="37" t="n">
        <v>11.4</v>
      </c>
      <c r="F107" s="37" t="n">
        <v>14.2</v>
      </c>
      <c r="G107" s="37" t="n">
        <v>16.3</v>
      </c>
      <c r="H107" s="37" t="n">
        <v>59.6</v>
      </c>
    </row>
    <row r="109">
      <c r="A109" s="32" t="inlineStr">
        <is>
          <t>F. 逐年累计终局换电车辆（万辆）· 三情景（仅私家车因三档渗透而不同）</t>
        </is>
      </c>
    </row>
    <row r="110">
      <c r="A110" s="3" t="inlineStr">
        <is>
          <t>车型</t>
        </is>
      </c>
      <c r="B110" s="3" t="inlineStr">
        <is>
          <t>2026</t>
        </is>
      </c>
      <c r="C110" s="3" t="inlineStr">
        <is>
          <t>2027</t>
        </is>
      </c>
      <c r="D110" s="3" t="inlineStr">
        <is>
          <t>2028</t>
        </is>
      </c>
      <c r="E110" s="3" t="inlineStr">
        <is>
          <t>2029</t>
        </is>
      </c>
      <c r="F110" s="3" t="inlineStr">
        <is>
          <t>2030</t>
        </is>
      </c>
      <c r="G110" s="3" t="inlineStr">
        <is>
          <t>悲观</t>
        </is>
      </c>
      <c r="H110" s="3" t="inlineStr">
        <is>
          <t>中性</t>
        </is>
      </c>
      <c r="I110" s="3" t="inlineStr">
        <is>
          <t>乐观</t>
        </is>
      </c>
    </row>
    <row r="111">
      <c r="A111" s="12" t="inlineStr">
        <is>
          <t>重卡</t>
        </is>
      </c>
      <c r="B111" s="37" t="n">
        <v>1.3</v>
      </c>
      <c r="C111" s="37" t="n">
        <v>4.3</v>
      </c>
      <c r="D111" s="37" t="n">
        <v>6.6</v>
      </c>
      <c r="E111" s="37" t="n">
        <v>8.1</v>
      </c>
      <c r="F111" s="37" t="n">
        <v>11.3</v>
      </c>
      <c r="G111" s="37" t="n">
        <v>38</v>
      </c>
      <c r="H111" s="37" t="n">
        <v>38</v>
      </c>
      <c r="I111" s="37" t="n">
        <v>38</v>
      </c>
    </row>
    <row r="112">
      <c r="A112" s="12" t="inlineStr">
        <is>
          <t>城配物流</t>
        </is>
      </c>
      <c r="B112" s="37" t="n">
        <v>11.2</v>
      </c>
      <c r="C112" s="37" t="n">
        <v>11.2</v>
      </c>
      <c r="D112" s="37" t="n">
        <v>25.9</v>
      </c>
      <c r="E112" s="37" t="n">
        <v>25.9</v>
      </c>
      <c r="F112" s="37" t="n">
        <v>43.9</v>
      </c>
      <c r="G112" s="37" t="n">
        <v>85.5</v>
      </c>
      <c r="H112" s="37" t="n">
        <v>85.5</v>
      </c>
      <c r="I112" s="37" t="n">
        <v>85.5</v>
      </c>
    </row>
    <row r="113">
      <c r="A113" s="12" t="inlineStr">
        <is>
          <t>出租车</t>
        </is>
      </c>
      <c r="B113" s="37" t="n">
        <v>2.7</v>
      </c>
      <c r="C113" s="37" t="n">
        <v>6</v>
      </c>
      <c r="D113" s="37" t="n">
        <v>9.699999999999999</v>
      </c>
      <c r="E113" s="37" t="n">
        <v>13.6</v>
      </c>
      <c r="F113" s="37" t="n">
        <v>17.8</v>
      </c>
      <c r="G113" s="37" t="n">
        <v>17.8</v>
      </c>
      <c r="H113" s="37" t="n">
        <v>17.8</v>
      </c>
      <c r="I113" s="37" t="n">
        <v>17.8</v>
      </c>
    </row>
    <row r="114">
      <c r="A114" s="12" t="inlineStr">
        <is>
          <t>网约车</t>
        </is>
      </c>
      <c r="B114" s="37" t="n">
        <v>2.5</v>
      </c>
      <c r="C114" s="37" t="n">
        <v>5.5</v>
      </c>
      <c r="D114" s="37" t="n">
        <v>8.9</v>
      </c>
      <c r="E114" s="37" t="n">
        <v>12.4</v>
      </c>
      <c r="F114" s="37" t="n">
        <v>16.2</v>
      </c>
      <c r="G114" s="37" t="n">
        <v>16.2</v>
      </c>
      <c r="H114" s="37" t="n">
        <v>16.2</v>
      </c>
      <c r="I114" s="37" t="n">
        <v>16.2</v>
      </c>
    </row>
    <row r="115">
      <c r="A115" s="12" t="inlineStr">
        <is>
          <t>Robotaxi</t>
        </is>
      </c>
      <c r="B115" s="37" t="n">
        <v>0</v>
      </c>
      <c r="C115" s="37" t="n">
        <v>0</v>
      </c>
      <c r="D115" s="37" t="n">
        <v>5</v>
      </c>
      <c r="E115" s="37" t="n">
        <v>20</v>
      </c>
      <c r="F115" s="37" t="n">
        <v>50</v>
      </c>
      <c r="G115" s="37" t="n">
        <v>50</v>
      </c>
      <c r="H115" s="37" t="n">
        <v>50</v>
      </c>
      <c r="I115" s="37" t="n">
        <v>50</v>
      </c>
    </row>
    <row r="116">
      <c r="A116" s="12" t="inlineStr">
        <is>
          <t>私家车</t>
        </is>
      </c>
      <c r="B116" s="37" t="n">
        <v>0</v>
      </c>
      <c r="C116" s="37" t="n">
        <v>12.1</v>
      </c>
      <c r="D116" s="37" t="n">
        <v>20.6</v>
      </c>
      <c r="E116" s="37" t="n">
        <v>20.6</v>
      </c>
      <c r="F116" s="37" t="n">
        <v>33.8</v>
      </c>
      <c r="G116" s="37" t="n">
        <v>50.9</v>
      </c>
      <c r="H116" s="37" t="n">
        <v>144.4</v>
      </c>
      <c r="I116" s="37" t="n">
        <v>250.6</v>
      </c>
    </row>
    <row r="117">
      <c r="A117" s="39" t="inlineStr">
        <is>
          <t>总计</t>
        </is>
      </c>
      <c r="B117" s="39" t="inlineStr"/>
      <c r="C117" s="39" t="inlineStr"/>
      <c r="D117" s="39" t="inlineStr"/>
      <c r="E117" s="39" t="inlineStr"/>
      <c r="F117" s="39" t="inlineStr"/>
      <c r="G117" s="40" t="n">
        <v>258.4</v>
      </c>
      <c r="H117" s="40" t="n">
        <v>351.9</v>
      </c>
      <c r="I117" s="40" t="n">
        <v>458.1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2026-09-01T11:11:08Z</dcterms:created>
  <dcterms:modified xmlns:dcterms="http://purl.org/dc/terms/" xmlns:xsi="http://www.w3.org/2001/XMLSchema-instance" xsi:type="dcterms:W3CDTF">2026-09-01T11:11:08Z</dcterms:modified>
</cp:coreProperties>
</file>