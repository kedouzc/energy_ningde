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轻卡换电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0" customWidth="1" min="3" max="3"/>
    <col width="14" customWidth="1" min="4" max="4"/>
    <col width="70" customWidth="1" min="5" max="5"/>
  </cols>
  <sheetData>
    <row r="1">
      <c r="A1" s="1" t="inlineStr">
        <is>
          <t>换电规模测算逻辑表（2026–2030，轻卡 LDT）</t>
        </is>
      </c>
    </row>
    <row r="2">
      <c r="A2" s="2" t="inlineStr">
        <is>
          <t>数据项</t>
        </is>
      </c>
      <c r="B2" s="2" t="inlineStr">
        <is>
          <t>公式 / 计算逻辑</t>
        </is>
      </c>
      <c r="C2" s="2" t="inlineStr">
        <is>
          <t>单位</t>
        </is>
      </c>
      <c r="D2" s="2" t="inlineStr">
        <is>
          <t>数值</t>
        </is>
      </c>
      <c r="E2" s="2" t="inlineStr">
        <is>
          <t>数据来源 / 备注</t>
        </is>
      </c>
    </row>
    <row r="3">
      <c r="A3" s="2" t="inlineStr">
        <is>
          <t>总换电装机规模</t>
        </is>
      </c>
      <c r="B3" s="2" t="inlineStr">
        <is>
          <t>存量换电规模 + 增量换电规模</t>
        </is>
      </c>
      <c r="C3" s="2" t="inlineStr">
        <is>
          <t>万kWh</t>
        </is>
      </c>
      <c r="D3" s="3">
        <f>E5+E11</f>
        <v/>
      </c>
      <c r="E3" s="2">
        <f>E5+E11 为公式</f>
        <v/>
      </c>
    </row>
    <row r="4">
      <c r="A4" s="2" t="inlineStr">
        <is>
          <t>总换电车辆规模</t>
        </is>
      </c>
      <c r="B4" s="2" t="inlineStr">
        <is>
          <t>LDT NEV存量车辆数 + LDT NEV增量车辆数</t>
        </is>
      </c>
      <c r="C4" s="2" t="inlineStr">
        <is>
          <t>万辆</t>
        </is>
      </c>
      <c r="D4" s="3">
        <f>E6+E14</f>
        <v/>
      </c>
      <c r="E4" s="2" t="inlineStr"/>
    </row>
    <row r="5">
      <c r="A5" s="2" t="inlineStr">
        <is>
          <t>存量换电装机规模（2025年及之前已售车辆）</t>
        </is>
      </c>
      <c r="B5" s="2" t="inlineStr">
        <is>
          <t>单车带电量 × LDT NEV存量车辆数</t>
        </is>
      </c>
      <c r="C5" s="2" t="inlineStr">
        <is>
          <t>万kWh</t>
        </is>
      </c>
      <c r="D5" s="3" t="n">
        <v>0</v>
      </c>
      <c r="E5" s="2" t="inlineStr">
        <is>
          <t>见下一行结论</t>
        </is>
      </c>
    </row>
    <row r="6">
      <c r="A6" s="4" t="inlineStr">
        <is>
          <t>▸ 存量换电装机规模（结论）</t>
        </is>
      </c>
      <c r="B6" s="4" t="inlineStr">
        <is>
          <t>2025年前换电轻卡尚未成规模上市，存量项视为0</t>
        </is>
      </c>
      <c r="C6" s="4" t="inlineStr">
        <is>
          <t>万kWh</t>
        </is>
      </c>
      <c r="D6" s="4" t="n">
        <v>0</v>
      </c>
      <c r="E6" s="4" t="inlineStr">
        <is>
          <t>依据：江淮巧克力换电轻卡2025/7才联调成功、2026/6发四款车型；中燃400余站2026/8开放。2025年前无成规模换电轻卡在售，存量换电装机≈0。与HDT不同——重卡换电早有运营(存量渗透率20%)，轻卡换电是从零起步的新增量</t>
        </is>
      </c>
    </row>
    <row r="7">
      <c r="A7" s="2" t="inlineStr">
        <is>
          <t>▸ 单车带电量(存量)</t>
        </is>
      </c>
      <c r="B7" s="2" t="inlineStr">
        <is>
          <t>(手动输入)</t>
        </is>
      </c>
      <c r="C7" s="2" t="inlineStr">
        <is>
          <t>kWh</t>
        </is>
      </c>
      <c r="D7" s="5" t="n">
        <v>81</v>
      </c>
      <c r="E7" s="2" t="inlineStr">
        <is>
          <t>巧克力换电版81度（江淮EV5/恺达EX6/坤鹏ET9），文档第208行</t>
        </is>
      </c>
    </row>
    <row r="8">
      <c r="A8" s="2" t="inlineStr">
        <is>
          <t>▸ LDT NEV存量车辆数</t>
        </is>
      </c>
      <c r="B8" s="2" t="inlineStr">
        <is>
          <t>2025 LDT NEV销量 × 换电渗透率 × CATL市占率</t>
        </is>
      </c>
      <c r="C8" s="2" t="inlineStr">
        <is>
          <t>万辆</t>
        </is>
      </c>
      <c r="D8" s="3">
        <f>E8*E9*E10</f>
        <v/>
      </c>
      <c r="E8" s="2" t="inlineStr"/>
    </row>
    <row r="9">
      <c r="A9" s="4" t="inlineStr">
        <is>
          <t xml:space="preserve"> └ 2025 LDT NEV销量</t>
        </is>
      </c>
      <c r="B9" s="4" t="inlineStr">
        <is>
          <t>(外部信源，待填)</t>
        </is>
      </c>
      <c r="C9" s="4" t="inlineStr">
        <is>
          <t>万辆</t>
        </is>
      </c>
      <c r="D9" s="4" t="n"/>
      <c r="E9" s="4" t="inlineStr">
        <is>
          <t>外部信源：中汽协/乘联会轻卡销量 × 约10% NEV渗透率；分母不可自证，须外部获取</t>
        </is>
      </c>
    </row>
    <row r="10">
      <c r="A10" s="2" t="inlineStr">
        <is>
          <t xml:space="preserve"> └ 换电渗透率(存量)</t>
        </is>
      </c>
      <c r="B10" s="2" t="inlineStr">
        <is>
          <t>(手动输入)</t>
        </is>
      </c>
      <c r="C10" s="2" t="inlineStr"/>
      <c r="D10" s="5" t="n">
        <v>0</v>
      </c>
      <c r="E10" s="2" t="inlineStr">
        <is>
          <t>存量阶段换电轻卡未上市，取0</t>
        </is>
      </c>
    </row>
    <row r="11">
      <c r="A11" s="2" t="inlineStr">
        <is>
          <t xml:space="preserve"> └ CATL市占率</t>
        </is>
      </c>
      <c r="B11" s="2" t="inlineStr">
        <is>
          <t>(手动输入)</t>
        </is>
      </c>
      <c r="C11" s="2" t="inlineStr"/>
      <c r="D11" s="5" t="n">
        <v>0.5</v>
      </c>
      <c r="E11" s="2" t="inlineStr">
        <is>
          <t>全阶段一致，50%（沿用HDT假设）</t>
        </is>
      </c>
    </row>
    <row r="12">
      <c r="A12" s="2" t="inlineStr">
        <is>
          <t>增量换电装机规模（2026–2030年新车）</t>
        </is>
      </c>
      <c r="B12" s="2" t="inlineStr">
        <is>
          <t>单车带电量 × LDT NEV增量车辆数</t>
        </is>
      </c>
      <c r="C12" s="2" t="inlineStr">
        <is>
          <t>万kWh</t>
        </is>
      </c>
      <c r="D12" s="3">
        <f>E12*E14</f>
        <v/>
      </c>
      <c r="E12" s="2" t="inlineStr"/>
    </row>
    <row r="13">
      <c r="A13" s="2" t="inlineStr">
        <is>
          <t>▸ 单车带电量（增量）</t>
        </is>
      </c>
      <c r="B13" s="2" t="inlineStr">
        <is>
          <t>(手动输入)</t>
        </is>
      </c>
      <c r="C13" s="2" t="inlineStr">
        <is>
          <t>kWh</t>
        </is>
      </c>
      <c r="D13" s="5" t="n">
        <v>81</v>
      </c>
      <c r="E13" s="2" t="inlineStr">
        <is>
          <t>巧克力换电版81度；轻卡无重卡420-500kWh大电量需求（文档第125、208行）</t>
        </is>
      </c>
    </row>
    <row r="14">
      <c r="A14" s="2" t="inlineStr">
        <is>
          <t>▸ LDT NEV增量车辆数</t>
        </is>
      </c>
      <c r="B14" s="2" t="inlineStr">
        <is>
          <t>新能源轻卡总销量 × 换电占比 × CATL市占率</t>
        </is>
      </c>
      <c r="C14" s="2" t="inlineStr">
        <is>
          <t>万辆</t>
        </is>
      </c>
      <c r="D14" s="3">
        <f>E15*E20*E21</f>
        <v/>
      </c>
      <c r="E14" s="2" t="inlineStr"/>
    </row>
    <row r="15">
      <c r="A15" s="2" t="inlineStr">
        <is>
          <t xml:space="preserve"> └ 新能源轻卡总销量（2026-2030）</t>
        </is>
      </c>
      <c r="B15" s="2" t="inlineStr">
        <is>
          <t>轻卡总销量 × NEV平均渗透率</t>
        </is>
      </c>
      <c r="C15" s="2" t="inlineStr">
        <is>
          <t>万辆</t>
        </is>
      </c>
      <c r="D15" s="3">
        <f>E16*E18</f>
        <v/>
      </c>
      <c r="E15" s="2" t="inlineStr"/>
    </row>
    <row r="16">
      <c r="A16" s="2" t="inlineStr">
        <is>
          <t xml:space="preserve">    └ 轻卡总销量（2026-2030）</t>
        </is>
      </c>
      <c r="B16" s="2" t="inlineStr">
        <is>
          <t>平均年销量 × 5年</t>
        </is>
      </c>
      <c r="C16" s="2" t="inlineStr">
        <is>
          <t>万辆</t>
        </is>
      </c>
      <c r="D16" s="3">
        <f>E17*5</f>
        <v/>
      </c>
      <c r="E16" s="2" t="inlineStr"/>
    </row>
    <row r="17">
      <c r="A17" s="4" t="inlineStr">
        <is>
          <t xml:space="preserve">       └ 平均年销量</t>
        </is>
      </c>
      <c r="B17" s="4" t="inlineStr">
        <is>
          <t>(外部信源，待填)</t>
        </is>
      </c>
      <c r="C17" s="4" t="inlineStr">
        <is>
          <t>万辆</t>
        </is>
      </c>
      <c r="D17" s="4" t="n"/>
      <c r="E17" s="4" t="inlineStr">
        <is>
          <t>外部信源：中汽协轻卡年销量（约200万辆级，待核实）；分母不可自证，须外部获取</t>
        </is>
      </c>
    </row>
    <row r="18">
      <c r="A18" s="2" t="inlineStr">
        <is>
          <t xml:space="preserve">       └ 更新周期</t>
        </is>
      </c>
      <c r="B18" s="2" t="inlineStr">
        <is>
          <t>轻卡约8-10年</t>
        </is>
      </c>
      <c r="C18" s="2" t="inlineStr">
        <is>
          <t>年</t>
        </is>
      </c>
      <c r="D18" s="5" t="n">
        <v>9</v>
      </c>
      <c r="E18" s="2" t="inlineStr">
        <is>
          <t>历史经验取中位数；用于交叉校验 保有量/更新周期≈年销量</t>
        </is>
      </c>
    </row>
    <row r="19">
      <c r="A19" s="2" t="inlineStr">
        <is>
          <t xml:space="preserve">    └ NEV平均渗透率（2026-2030）</t>
        </is>
      </c>
      <c r="B19" s="2" t="inlineStr">
        <is>
          <t>S型曲线插值平均</t>
        </is>
      </c>
      <c r="C19" s="2" t="inlineStr"/>
      <c r="D19" s="3">
        <f>AVERAGE(E23:E27)</f>
        <v/>
      </c>
      <c r="E19" s="2" t="inlineStr">
        <is>
          <t>见下方逐年插值</t>
        </is>
      </c>
    </row>
    <row r="20">
      <c r="A20" s="2" t="inlineStr">
        <is>
          <t xml:space="preserve">       └ 2025</t>
        </is>
      </c>
      <c r="B20" s="2" t="inlineStr">
        <is>
          <t>基准年</t>
        </is>
      </c>
      <c r="C20" s="2" t="inlineStr"/>
      <c r="D20" s="5" t="n">
        <v>0.1</v>
      </c>
      <c r="E20" s="2" t="inlineStr">
        <is>
          <t>轻卡电动化约10%（文档第11行）</t>
        </is>
      </c>
    </row>
    <row r="21">
      <c r="A21" s="2" t="inlineStr">
        <is>
          <t xml:space="preserve">       └ 2026</t>
        </is>
      </c>
      <c r="B21" s="2" t="inlineStr">
        <is>
          <t>插值</t>
        </is>
      </c>
      <c r="C21" s="2" t="inlineStr"/>
      <c r="D21" s="5" t="n">
        <v>0.15</v>
      </c>
      <c r="E21" s="2" t="inlineStr"/>
    </row>
    <row r="22">
      <c r="A22" s="2" t="inlineStr">
        <is>
          <t xml:space="preserve">       └ 2027</t>
        </is>
      </c>
      <c r="B22" s="2" t="inlineStr">
        <is>
          <t>插值</t>
        </is>
      </c>
      <c r="C22" s="2" t="inlineStr"/>
      <c r="D22" s="5" t="n">
        <v>0.22</v>
      </c>
      <c r="E22" s="2" t="inlineStr"/>
    </row>
    <row r="23">
      <c r="A23" s="2" t="inlineStr">
        <is>
          <t xml:space="preserve">       └ 2028</t>
        </is>
      </c>
      <c r="B23" s="2" t="inlineStr">
        <is>
          <t>插值</t>
        </is>
      </c>
      <c r="C23" s="2" t="inlineStr"/>
      <c r="D23" s="5" t="n">
        <v>0.3</v>
      </c>
      <c r="E23" s="2" t="inlineStr"/>
    </row>
    <row r="24">
      <c r="A24" s="2" t="inlineStr">
        <is>
          <t xml:space="preserve">       └ 2029</t>
        </is>
      </c>
      <c r="B24" s="2" t="inlineStr">
        <is>
          <t>插值</t>
        </is>
      </c>
      <c r="C24" s="2" t="inlineStr"/>
      <c r="D24" s="5" t="n">
        <v>0.38</v>
      </c>
      <c r="E24" s="2" t="inlineStr"/>
    </row>
    <row r="25">
      <c r="A25" s="2" t="inlineStr">
        <is>
          <t xml:space="preserve">       └ 2030</t>
        </is>
      </c>
      <c r="B25" s="2" t="inlineStr">
        <is>
          <t>插值</t>
        </is>
      </c>
      <c r="C25" s="2" t="inlineStr"/>
      <c r="D25" s="5" t="n">
        <v>0.45</v>
      </c>
      <c r="E25" s="2" t="inlineStr">
        <is>
          <t>轻卡渗透节奏滞后于重卡，低于重卡50%目标</t>
        </is>
      </c>
    </row>
    <row r="26">
      <c r="A26" s="2" t="inlineStr">
        <is>
          <t xml:space="preserve"> └ 换电占比（增量阶段）</t>
        </is>
      </c>
      <c r="B26" s="2" t="inlineStr">
        <is>
          <t>里程分布倒推，非手动输入</t>
        </is>
      </c>
      <c r="C26" s="2" t="inlineStr"/>
      <c r="D26" s="5" t="n">
        <v>0.225</v>
      </c>
      <c r="E26" s="2" t="inlineStr">
        <is>
          <t>由里程分布表倒推：200-300km(20%)高频子集~10% + 300-400km(10%)~10% + 400km以上(&lt;1%)≈2.5%，合计约22.5%；对应文档第62、139-141、178行“20-25%走换电”</t>
        </is>
      </c>
    </row>
    <row r="27">
      <c r="A27" s="2" t="inlineStr">
        <is>
          <t xml:space="preserve"> └ CATL市占率</t>
        </is>
      </c>
      <c r="B27" s="2" t="inlineStr">
        <is>
          <t>(手动输入)</t>
        </is>
      </c>
      <c r="C27" s="2" t="inlineStr"/>
      <c r="D27" s="5" t="n">
        <v>0.5</v>
      </c>
      <c r="E27" s="2" t="inlineStr">
        <is>
          <t>全阶段一致，50%（沿用HDT假设）</t>
        </is>
      </c>
    </row>
    <row r="28">
      <c r="A28" s="4" t="inlineStr">
        <is>
          <t>说明1</t>
        </is>
      </c>
      <c r="B28" s="4" t="inlineStr">
        <is>
          <t>存量可视为0的核心原因</t>
        </is>
      </c>
      <c r="C28" s="4" t="inlineStr">
        <is>
          <t>文本</t>
        </is>
      </c>
      <c r="D28" s="4" t="inlineStr">
        <is>
          <t>轻卡换电是2026年才起步的新增量，2025年前无成规模换电轻卡在售；与HDT“存量20%”不同，轻卡只需算增量一项</t>
        </is>
      </c>
      <c r="E28" s="4" t="inlineStr"/>
    </row>
    <row r="29">
      <c r="A29" s="4" t="inlineStr">
        <is>
          <t>说明2</t>
        </is>
      </c>
      <c r="B29" s="4" t="inlineStr">
        <is>
          <t>与HDT测算的关键差异</t>
        </is>
      </c>
      <c r="C29" s="4" t="inlineStr">
        <is>
          <t>文本</t>
        </is>
      </c>
      <c r="D29" s="4" t="inlineStr">
        <is>
          <t>①单车带电量81kWh(非420-500kWh)；②换电占比20-25%由里程分布倒推(非手动50%)；③存量项归零</t>
        </is>
      </c>
      <c r="E29" s="4" t="inlineStr"/>
    </row>
    <row r="30">
      <c r="A30" s="4" t="inlineStr">
        <is>
          <t>说明3</t>
        </is>
      </c>
      <c r="B30" s="4" t="inlineStr">
        <is>
          <t>分母外部信源纪律</t>
        </is>
      </c>
      <c r="C30" s="4" t="inlineStr">
        <is>
          <t>文本</t>
        </is>
      </c>
      <c r="D30" s="4" t="inlineStr">
        <is>
          <t>轻卡总销量、NEV渗透率曲线、里程分布须来自中汽协/乘联会/上险/券商研报等独立信源，不可模型自证（记忆ID 86332462）</t>
        </is>
      </c>
      <c r="E3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2026-08-11T10:10:26Z</dcterms:created>
  <dcterms:modified xsi:type="dcterms:W3CDTF">2026-08-11T10:10:26Z</dcterms:modified>
</cp:coreProperties>
</file>