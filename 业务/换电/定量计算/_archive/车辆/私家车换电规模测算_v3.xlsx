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换电规模测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私家车换电规模测算(按车企四层映射·v3)</t>
        </is>
      </c>
    </row>
    <row r="2">
      <c r="A2" t="inlineStr">
        <is>
          <t>数据项</t>
        </is>
      </c>
      <c r="B2" t="inlineStr">
        <is>
          <t>公式 / 计算逻辑</t>
        </is>
      </c>
      <c r="C2" t="inlineStr">
        <is>
          <t>单位</t>
        </is>
      </c>
      <c r="D2" t="inlineStr">
        <is>
          <t>数值</t>
        </is>
      </c>
      <c r="E2" t="inlineStr">
        <is>
          <t>数据来源 / 备注</t>
        </is>
      </c>
    </row>
    <row r="3">
      <c r="A3" t="inlineStr">
        <is>
          <t>私家车可换电增量(2030)</t>
        </is>
      </c>
      <c r="B3" t="inlineStr">
        <is>
          <t>接入换电的车企EV保有 × 换电渗透 × 覆盖系数 × CATL权益</t>
        </is>
      </c>
      <c r="C3" t="inlineStr">
        <is>
          <t>万辆</t>
        </is>
      </c>
      <c r="D3">
        <f>ROUND(D5,1)</f>
        <v/>
      </c>
      <c r="E3" t="inlineStr"/>
    </row>
    <row r="5">
      <c r="A5" t="inlineStr">
        <is>
          <t>▸ 接入换电车企EV保有</t>
        </is>
      </c>
      <c r="B5" t="inlineStr">
        <is>
          <t>私家车EV保有 × (1-第一层占比)</t>
        </is>
      </c>
      <c r="C5" t="inlineStr">
        <is>
          <t>万辆</t>
        </is>
      </c>
      <c r="D5">
        <f>D6*(1-D7)</f>
        <v/>
      </c>
      <c r="E5" t="inlineStr">
        <is>
          <t>第一层不接入第三方换电(自研/智选车自供)</t>
        </is>
      </c>
    </row>
    <row r="7">
      <c r="A7" t="inlineStr">
        <is>
          <t xml:space="preserve">    └ 私家车EV保有(2030)</t>
        </is>
      </c>
      <c r="B7" t="inlineStr">
        <is>
          <t>手动输入</t>
        </is>
      </c>
      <c r="C7" t="inlineStr">
        <is>
          <t>万辆</t>
        </is>
      </c>
      <c r="D7" t="n">
        <v>11400</v>
      </c>
      <c r="E7" t="inlineStr">
        <is>
          <t>能量维度 §3.2 终局研究存量口径</t>
        </is>
      </c>
    </row>
    <row r="9">
      <c r="A9" t="inlineStr">
        <is>
          <t xml:space="preserve">    └ 第一层占比(剔除)</t>
        </is>
      </c>
      <c r="B9" t="inlineStr">
        <is>
          <t>手动输入</t>
        </is>
      </c>
      <c r="C9" t="inlineStr">
        <is>
          <t>%</t>
        </is>
      </c>
      <c r="D9" t="n">
        <v>0.25</v>
      </c>
      <c r="E9" t="inlineStr">
        <is>
          <t>特斯拉+比亚迪+华为智选车合计约25%(终局研究§7.1)</t>
        </is>
      </c>
    </row>
    <row r="11">
      <c r="A11" t="inlineStr">
        <is>
          <t>▸ 换电渗透(接入层)</t>
        </is>
      </c>
      <c r="B11" t="inlineStr">
        <is>
          <t>手动输入</t>
        </is>
      </c>
      <c r="C11" t="inlineStr">
        <is>
          <t>%</t>
        </is>
      </c>
      <c r="D11" t="n">
        <v>0.15</v>
      </c>
      <c r="E11" t="inlineStr">
        <is>
          <t>二/三/四层中选换电方案比例(保守)</t>
        </is>
      </c>
    </row>
    <row r="13">
      <c r="A13" t="inlineStr">
        <is>
          <t>▸ 覆盖系数</t>
        </is>
      </c>
      <c r="B13" t="inlineStr">
        <is>
          <t>手动输入</t>
        </is>
      </c>
      <c r="C13" t="inlineStr">
        <is>
          <t>%</t>
        </is>
      </c>
      <c r="D13" t="n">
        <v>0.6</v>
      </c>
      <c r="E13" t="inlineStr">
        <is>
          <t>巧克力网络覆盖度(可调0.5-0.7)</t>
        </is>
      </c>
    </row>
    <row r="15">
      <c r="A15" t="inlineStr">
        <is>
          <t>▸ CATL权益</t>
        </is>
      </c>
      <c r="B15" t="inlineStr">
        <is>
          <t>手动输入</t>
        </is>
      </c>
      <c r="C15" t="inlineStr">
        <is>
          <t>%</t>
        </is>
      </c>
      <c r="D15" t="n">
        <v>0.4</v>
      </c>
      <c r="E15" t="inlineStr">
        <is>
          <t>宁德在换电电池银行权益</t>
        </is>
      </c>
    </row>
    <row r="17">
      <c r="A17" t="inlineStr">
        <is>
          <t>对应装车CAPEX(亿)</t>
        </is>
      </c>
      <c r="B17" t="inlineStr">
        <is>
          <t>可换电增量 × 单车带电量 × 度电成本</t>
        </is>
      </c>
      <c r="C17" t="inlineStr">
        <is>
          <t>亿</t>
        </is>
      </c>
      <c r="D17">
        <f>D5*D9*D10</f>
        <v/>
      </c>
      <c r="E17" t="inlineStr"/>
    </row>
    <row r="19">
      <c r="A19" t="inlineStr">
        <is>
          <t>▸ 单车带电量</t>
        </is>
      </c>
      <c r="B19" t="inlineStr">
        <is>
          <t>手动输入</t>
        </is>
      </c>
      <c r="C19" t="inlineStr">
        <is>
          <t>kWh</t>
        </is>
      </c>
      <c r="D19" t="n">
        <v>56</v>
      </c>
      <c r="E19" t="inlineStr">
        <is>
          <t>56kWh换电块</t>
        </is>
      </c>
    </row>
    <row r="21">
      <c r="A21" t="inlineStr">
        <is>
          <t>▸ 度电成本(装车)</t>
        </is>
      </c>
      <c r="B21" t="inlineStr">
        <is>
          <t>手动输入</t>
        </is>
      </c>
      <c r="C21" t="inlineStr">
        <is>
          <t>元/kWh</t>
        </is>
      </c>
      <c r="D21" t="n">
        <v>590</v>
      </c>
      <c r="E21" t="inlineStr">
        <is>
          <t>与重卡/营运同口径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2026-08-17T07:22:33Z</dcterms:created>
  <dcterms:modified xsi:type="dcterms:W3CDTF">2026-08-17T07:22:33Z</dcterms:modified>
</cp:coreProperties>
</file>