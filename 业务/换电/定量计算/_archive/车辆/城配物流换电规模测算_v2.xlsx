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换电规模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城配物流换电装车规模测算逻辑表（2026-2030）</t>
        </is>
      </c>
    </row>
    <row r="2">
      <c r="A2" t="inlineStr">
        <is>
          <t>数据项</t>
        </is>
      </c>
      <c r="B2" t="inlineStr">
        <is>
          <t>公式 / 计算逻辑</t>
        </is>
      </c>
      <c r="C2" t="inlineStr">
        <is>
          <t>单位</t>
        </is>
      </c>
      <c r="D2" t="inlineStr">
        <is>
          <t>数值</t>
        </is>
      </c>
      <c r="E2" t="inlineStr">
        <is>
          <t>数据来源 / 备注</t>
        </is>
      </c>
    </row>
    <row r="3">
      <c r="A3" t="inlineStr">
        <is>
          <t>总换电装机规模</t>
        </is>
      </c>
      <c r="B3">
        <f>D5+D11</f>
        <v/>
      </c>
      <c r="C3" t="inlineStr">
        <is>
          <t>万kWh</t>
        </is>
      </c>
      <c r="E3" t="inlineStr">
        <is>
          <t>装车+站内</t>
        </is>
      </c>
    </row>
    <row r="4">
      <c r="A4" t="inlineStr">
        <is>
          <t>总换电车辆规模</t>
        </is>
      </c>
      <c r="B4">
        <f>D7+D13</f>
        <v/>
      </c>
      <c r="C4" t="inlineStr">
        <is>
          <t>万辆</t>
        </is>
      </c>
      <c r="E4" t="inlineStr">
        <is>
          <t>换电车辆合计</t>
        </is>
      </c>
    </row>
    <row r="5">
      <c r="A5" t="inlineStr">
        <is>
          <t>存量换电装机规模（2025已售）</t>
        </is>
      </c>
      <c r="B5">
        <f>D6*D7</f>
        <v/>
      </c>
      <c r="C5" t="inlineStr">
        <is>
          <t>万kWh</t>
        </is>
      </c>
      <c r="E5" t="inlineStr">
        <is>
          <t>单车带电量×存量换电车</t>
        </is>
      </c>
    </row>
    <row r="6">
      <c r="A6" t="inlineStr">
        <is>
          <t>▸ 单车带电量</t>
        </is>
      </c>
      <c r="B6" t="inlineStr">
        <is>
          <t>(手动输入)</t>
        </is>
      </c>
      <c r="C6" t="inlineStr">
        <is>
          <t>kWh</t>
        </is>
      </c>
      <c r="D6" t="n">
        <v>81</v>
      </c>
      <c r="E6" t="inlineStr">
        <is>
          <t>江淮×宁德巧克力换电轻卡81度版（城配物流电动化.md §七）</t>
        </is>
      </c>
    </row>
    <row r="7">
      <c r="A7" t="inlineStr">
        <is>
          <t>▸ 城配物流总保有量</t>
        </is>
      </c>
      <c r="B7" t="inlineStr">
        <is>
          <t>(手动输入)</t>
        </is>
      </c>
      <c r="C7" t="inlineStr">
        <is>
          <t>万辆</t>
        </is>
      </c>
      <c r="D7" t="n">
        <v>162</v>
      </c>
      <c r="E7" t="inlineStr">
        <is>
          <t>交通运输部2026-03口径 + 城配物流电动化.md</t>
        </is>
      </c>
    </row>
    <row r="8">
      <c r="A8" t="inlineStr">
        <is>
          <t>▸ 换电渗透率（存量）</t>
        </is>
      </c>
      <c r="B8" t="inlineStr">
        <is>
          <t>(手动输入)</t>
        </is>
      </c>
      <c r="C8" t="inlineStr">
        <is>
          <t>%</t>
        </is>
      </c>
      <c r="D8" t="n">
        <v>0.225</v>
      </c>
      <c r="E8" t="inlineStr">
        <is>
          <t>城配物流电动化.md §五：换电占比20-25%（日均&gt;250km高频子场景）</t>
        </is>
      </c>
    </row>
    <row r="9">
      <c r="A9" t="inlineStr">
        <is>
          <t>▸ 存量换电车辆数</t>
        </is>
      </c>
      <c r="B9">
        <f>ROUND(D8*D9,1)</f>
        <v/>
      </c>
      <c r="C9" t="inlineStr">
        <is>
          <t>万辆</t>
        </is>
      </c>
      <c r="E9" t="inlineStr">
        <is>
          <t>总保有×换电渗透</t>
        </is>
      </c>
    </row>
    <row r="10">
      <c r="A10" t="inlineStr">
        <is>
          <t>增量换电装机规模（2026-2030新车）</t>
        </is>
      </c>
      <c r="B10">
        <f>D12*D13</f>
        <v/>
      </c>
      <c r="C10" t="inlineStr">
        <is>
          <t>万kWh</t>
        </is>
      </c>
      <c r="E10" t="inlineStr">
        <is>
          <t>单车带电量×增量换电车</t>
        </is>
      </c>
    </row>
    <row r="11">
      <c r="A11" t="inlineStr">
        <is>
          <t>▸ 单车带电量（增量）</t>
        </is>
      </c>
      <c r="B11" t="inlineStr">
        <is>
          <t>(手动输入)</t>
        </is>
      </c>
      <c r="C11" t="inlineStr">
        <is>
          <t>kWh</t>
        </is>
      </c>
      <c r="D11" t="n">
        <v>81</v>
      </c>
      <c r="E11" t="inlineStr">
        <is>
          <t>随容量提升，取81</t>
        </is>
      </c>
    </row>
    <row r="12">
      <c r="A12" t="inlineStr">
        <is>
          <t>▸ 增量换电车辆数</t>
        </is>
      </c>
      <c r="B12">
        <f>ROUND(D15*D17*D18,0)</f>
        <v/>
      </c>
      <c r="C12" t="inlineStr">
        <is>
          <t>万辆</t>
        </is>
      </c>
      <c r="E12" t="inlineStr">
        <is>
          <t>城配总增量×NEV渗透×换电渗透</t>
        </is>
      </c>
    </row>
    <row r="13">
      <c r="A13" t="inlineStr">
        <is>
          <t xml:space="preserve">  └ 城配物流增量保有（2026-2030）</t>
        </is>
      </c>
      <c r="B13">
        <f>D16*5</f>
        <v/>
      </c>
      <c r="C13" t="inlineStr">
        <is>
          <t>万辆</t>
        </is>
      </c>
      <c r="E13" t="inlineStr">
        <is>
          <t>年均增量×5年（近似）</t>
        </is>
      </c>
    </row>
    <row r="14">
      <c r="A14" t="inlineStr">
        <is>
          <t xml:space="preserve">    └ 年均新增城配电动化车辆</t>
        </is>
      </c>
      <c r="B14" t="inlineStr">
        <is>
          <t>(手动输入)</t>
        </is>
      </c>
      <c r="C14" t="inlineStr">
        <is>
          <t>万辆</t>
        </is>
      </c>
      <c r="D14" t="n">
        <v>32.4</v>
      </c>
      <c r="E14" t="inlineStr">
        <is>
          <t>162万总保有/5年平滑（经验假设·非外部信源）</t>
        </is>
      </c>
    </row>
    <row r="15">
      <c r="A15" t="inlineStr">
        <is>
          <t xml:space="preserve">  └ NEV渗透率（增量）</t>
        </is>
      </c>
      <c r="B15" t="inlineStr">
        <is>
          <t>(手动输入)</t>
        </is>
      </c>
      <c r="C15" t="inlineStr">
        <is>
          <t>%</t>
        </is>
      </c>
      <c r="D15" t="n">
        <v>0.5</v>
      </c>
      <c r="E15" t="inlineStr">
        <is>
          <t>城配电动化拐点（城配物流电动化.md §一）</t>
        </is>
      </c>
    </row>
    <row r="16">
      <c r="A16" t="inlineStr">
        <is>
          <t xml:space="preserve">  └ 换电渗透率（增量）</t>
        </is>
      </c>
      <c r="B16" t="inlineStr">
        <is>
          <t>(手动输入)</t>
        </is>
      </c>
      <c r="C16" t="inlineStr">
        <is>
          <t>%</t>
        </is>
      </c>
      <c r="D16" t="n">
        <v>0.25</v>
      </c>
      <c r="E16" t="inlineStr">
        <is>
          <t>高频子场景换电占比上限</t>
        </is>
      </c>
    </row>
    <row r="17">
      <c r="A17" t="inlineStr">
        <is>
          <t>电池装车装机（GWh）</t>
        </is>
      </c>
      <c r="B17">
        <f>D5/100</f>
        <v/>
      </c>
      <c r="C17" t="inlineStr">
        <is>
          <t>GWh</t>
        </is>
      </c>
      <c r="E17" t="inlineStr">
        <is>
          <t>万kWh÷100</t>
        </is>
      </c>
    </row>
    <row r="18">
      <c r="A18" t="inlineStr">
        <is>
          <t>换电站数（座）</t>
        </is>
      </c>
      <c r="B18" t="inlineStr">
        <is>
          <t>(手动输入)</t>
        </is>
      </c>
      <c r="C18" t="inlineStr">
        <is>
          <t>座</t>
        </is>
      </c>
      <c r="D18" t="n">
        <v>3000</v>
      </c>
      <c r="E18" t="inlineStr">
        <is>
          <t>复用超换一体网络，对标重卡</t>
        </is>
      </c>
    </row>
    <row r="19">
      <c r="A19" t="inlineStr">
        <is>
          <t>单站周转块数</t>
        </is>
      </c>
      <c r="B19" t="inlineStr">
        <is>
          <t>(手动输入)</t>
        </is>
      </c>
      <c r="C19" t="inlineStr">
        <is>
          <t>块</t>
        </is>
      </c>
      <c r="D19" t="n">
        <v>24</v>
      </c>
      <c r="E19" t="inlineStr">
        <is>
          <t>超换一体标准站</t>
        </is>
      </c>
    </row>
    <row r="20">
      <c r="A20" t="inlineStr">
        <is>
          <t>单块带电量（kWh）</t>
        </is>
      </c>
      <c r="B20" t="inlineStr">
        <is>
          <t>(手动输入)</t>
        </is>
      </c>
      <c r="C20" t="inlineStr">
        <is>
          <t>kWh</t>
        </is>
      </c>
      <c r="D20" t="n">
        <v>171</v>
      </c>
      <c r="E20" t="inlineStr">
        <is>
          <t>超换一体站内电池</t>
        </is>
      </c>
    </row>
    <row r="21">
      <c r="A21" t="inlineStr">
        <is>
          <t>电池站内装机（GWh）</t>
        </is>
      </c>
      <c r="B21">
        <f>D26*D27*D28/1000000</f>
        <v/>
      </c>
      <c r="C21" t="inlineStr">
        <is>
          <t>GWh</t>
        </is>
      </c>
      <c r="E21" t="inlineStr">
        <is>
          <t>站数×块数×单块÷1e6</t>
        </is>
      </c>
    </row>
    <row r="22">
      <c r="A22" t="inlineStr">
        <is>
          <t>电池总装机（GWh）</t>
        </is>
      </c>
      <c r="B22">
        <f>D24+D29</f>
        <v/>
      </c>
      <c r="C22" t="inlineStr">
        <is>
          <t>GWh</t>
        </is>
      </c>
      <c r="E22" t="inlineStr">
        <is>
          <t>装车+站内</t>
        </is>
      </c>
    </row>
    <row r="23">
      <c r="A23" t="inlineStr">
        <is>
          <t>电池初装CAPEX（亿）</t>
        </is>
      </c>
      <c r="B23">
        <f>D30*590/100</f>
        <v/>
      </c>
      <c r="C23" t="inlineStr">
        <is>
          <t>亿</t>
        </is>
      </c>
      <c r="E23" t="inlineStr">
        <is>
          <t>总装机×590元/kWh÷100</t>
        </is>
      </c>
    </row>
    <row r="24">
      <c r="A24" t="inlineStr">
        <is>
          <t>单站投资额（万/座）</t>
        </is>
      </c>
      <c r="B24" t="inlineStr">
        <is>
          <t>(手动输入)</t>
        </is>
      </c>
      <c r="C24" t="inlineStr">
        <is>
          <t>万</t>
        </is>
      </c>
      <c r="D24" t="n">
        <v>500</v>
      </c>
      <c r="E24" t="inlineStr">
        <is>
          <t>超换一体标准站500（超换一体.md §三.3）</t>
        </is>
      </c>
    </row>
    <row r="25">
      <c r="A25" t="inlineStr">
        <is>
          <t>站体CAPEX（亿）</t>
        </is>
      </c>
      <c r="B25">
        <f>D26*D33/10000</f>
        <v/>
      </c>
      <c r="C25" t="inlineStr">
        <is>
          <t>亿</t>
        </is>
      </c>
      <c r="E25" t="inlineStr">
        <is>
          <t>站数×单站投资÷1e4</t>
        </is>
      </c>
    </row>
    <row r="26">
      <c r="A26" t="inlineStr">
        <is>
          <t>初装CAPEX合计（亿）</t>
        </is>
      </c>
      <c r="B26">
        <f>D31+D34</f>
        <v/>
      </c>
      <c r="C26" t="inlineStr">
        <is>
          <t>亿</t>
        </is>
      </c>
      <c r="E26" t="inlineStr">
        <is>
          <t>电池+站体</t>
        </is>
      </c>
    </row>
    <row r="27">
      <c r="A27" t="inlineStr">
        <is>
          <t>EAC放大倍数</t>
        </is>
      </c>
      <c r="B27" t="inlineStr">
        <is>
          <t>(手动输入)</t>
        </is>
      </c>
      <c r="C27" t="inlineStr">
        <is>
          <t>x</t>
        </is>
      </c>
      <c r="D27" t="n">
        <v>1.7</v>
      </c>
      <c r="E27" t="inlineStr">
        <is>
          <t>寿命3.8年→EAC×1.7</t>
        </is>
      </c>
    </row>
    <row r="28">
      <c r="A28" t="inlineStr">
        <is>
          <t>全周期CAPEX现值（亿）</t>
        </is>
      </c>
      <c r="B28">
        <f>D31*D36+D34</f>
        <v/>
      </c>
      <c r="C28" t="inlineStr">
        <is>
          <t>亿</t>
        </is>
      </c>
      <c r="E28" t="inlineStr">
        <is>
          <t>电池×EAC+站体</t>
        </is>
      </c>
    </row>
    <row r="29">
      <c r="A29" t="inlineStr">
        <is>
          <t>年EBITDA（亿）</t>
        </is>
      </c>
      <c r="B29">
        <f>D37*0.132</f>
        <v/>
      </c>
      <c r="C29" t="inlineStr">
        <is>
          <t>亿</t>
        </is>
      </c>
      <c r="E29" t="inlineStr">
        <is>
          <t>全周期CAPEX×EBITDA率0.132</t>
        </is>
      </c>
    </row>
    <row r="30">
      <c r="A30" t="inlineStr">
        <is>
          <t>整体EV（亿）</t>
        </is>
      </c>
      <c r="B30">
        <f>D38*18</f>
        <v/>
      </c>
      <c r="C30" t="inlineStr">
        <is>
          <t>亿</t>
        </is>
      </c>
      <c r="E30" t="inlineStr">
        <is>
          <t>EBITDA×EV/EBITDA 18x</t>
        </is>
      </c>
    </row>
    <row r="31">
      <c r="A31" t="inlineStr">
        <is>
          <t>股权价值（亿）</t>
        </is>
      </c>
      <c r="B31">
        <f>D39-D37*0.6</f>
        <v/>
      </c>
      <c r="C31" t="inlineStr">
        <is>
          <t>亿</t>
        </is>
      </c>
      <c r="E31" t="inlineStr">
        <is>
          <t>EV-债务(60%)</t>
        </is>
      </c>
    </row>
    <row r="32">
      <c r="A32" t="inlineStr">
        <is>
          <t>宁德估值贡献（亿）</t>
        </is>
      </c>
      <c r="B32">
        <f>D40*0.4</f>
        <v/>
      </c>
      <c r="C32" t="inlineStr">
        <is>
          <t>亿</t>
        </is>
      </c>
      <c r="E32" t="inlineStr">
        <is>
          <t>股权×CATL权益40%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2026-08-17T03:35:25Z</dcterms:created>
  <dcterms:modified xsi:type="dcterms:W3CDTF">2026-08-17T03:35:25Z</dcterms:modified>
</cp:coreProperties>
</file>