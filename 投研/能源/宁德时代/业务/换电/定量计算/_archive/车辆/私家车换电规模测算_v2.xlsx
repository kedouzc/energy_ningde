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换电规模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私家车换电规模测算逻辑表（2030 末态分档，按车企分层推导可换电增量）</t>
        </is>
      </c>
    </row>
    <row r="2">
      <c r="A2" t="inlineStr">
        <is>
          <t>数据项</t>
        </is>
      </c>
      <c r="B2" t="inlineStr">
        <is>
          <t>公式 / 计算逻辑</t>
        </is>
      </c>
      <c r="C2" t="inlineStr">
        <is>
          <t>单位</t>
        </is>
      </c>
      <c r="D2" t="inlineStr">
        <is>
          <t>数值</t>
        </is>
      </c>
      <c r="E2" t="inlineStr">
        <is>
          <t>数据来源 / 备注</t>
        </is>
      </c>
    </row>
    <row r="3">
      <c r="A3" t="inlineStr">
        <is>
          <t>私家车总保有（2030）</t>
        </is>
      </c>
      <c r="B3" t="inlineStr">
        <is>
          <t>(手动输入)</t>
        </is>
      </c>
      <c r="C3" t="inlineStr">
        <is>
          <t>万辆</t>
        </is>
      </c>
      <c r="D3" t="n">
        <v>11400</v>
      </c>
      <c r="E3" t="inlineStr">
        <is>
          <t>电动车终局研究表1：2030私家车EV保有11400万</t>
        </is>
      </c>
    </row>
    <row r="4">
      <c r="A4" t="inlineStr">
        <is>
          <t>▸ 低端车（&lt;8万）保有</t>
        </is>
      </c>
      <c r="B4" t="inlineStr">
        <is>
          <t>(手动输入)</t>
        </is>
      </c>
      <c r="C4" t="inlineStr">
        <is>
          <t>万辆</t>
        </is>
      </c>
      <c r="D4" t="n">
        <v>3900</v>
      </c>
      <c r="E4" t="inlineStr">
        <is>
          <t>经验假设·非外部信源（终局研究分档口径）</t>
        </is>
      </c>
    </row>
    <row r="5">
      <c r="A5" t="inlineStr">
        <is>
          <t>▸ 中端车（8-15万）保有</t>
        </is>
      </c>
      <c r="B5" t="inlineStr">
        <is>
          <t>(手动输入)</t>
        </is>
      </c>
      <c r="C5" t="inlineStr">
        <is>
          <t>万辆</t>
        </is>
      </c>
      <c r="D5" t="n">
        <v>2868</v>
      </c>
      <c r="E5" t="inlineStr">
        <is>
          <t>能量维度§3.2情景来源</t>
        </is>
      </c>
    </row>
    <row r="6">
      <c r="A6" t="inlineStr">
        <is>
          <t>▸ 高端车（&gt;15万）保有</t>
        </is>
      </c>
      <c r="B6" t="inlineStr">
        <is>
          <t>(手动输入)</t>
        </is>
      </c>
      <c r="C6" t="inlineStr">
        <is>
          <t>万辆</t>
        </is>
      </c>
      <c r="D6" t="n">
        <v>3358</v>
      </c>
      <c r="E6" t="inlineStr">
        <is>
          <t>能量维度§3.2情景来源</t>
        </is>
      </c>
    </row>
    <row r="7">
      <c r="A7" t="inlineStr">
        <is>
          <t>分档换电渗透率假设</t>
        </is>
      </c>
      <c r="B7" t="inlineStr">
        <is>
          <t>（见下三行）</t>
        </is>
      </c>
      <c r="C7" t="inlineStr">
        <is>
          <t>%</t>
        </is>
      </c>
      <c r="E7" t="inlineStr">
        <is>
          <t>受CTC/CTB一体化压制</t>
        </is>
      </c>
    </row>
    <row r="8">
      <c r="A8" t="inlineStr">
        <is>
          <t>▸ 低端渗透率</t>
        </is>
      </c>
      <c r="B8" t="inlineStr">
        <is>
          <t>(手动输入)</t>
        </is>
      </c>
      <c r="C8" t="inlineStr">
        <is>
          <t>%</t>
        </is>
      </c>
      <c r="D8" t="n">
        <v>0</v>
      </c>
      <c r="E8" t="inlineStr">
        <is>
          <t>CTC冲击，几乎不换电（保守0%）</t>
        </is>
      </c>
    </row>
    <row r="9">
      <c r="A9" t="inlineStr">
        <is>
          <t>▸ 中端渗透率</t>
        </is>
      </c>
      <c r="B9" t="inlineStr">
        <is>
          <t>(手动输入)</t>
        </is>
      </c>
      <c r="C9" t="inlineStr">
        <is>
          <t>%</t>
        </is>
      </c>
      <c r="D9" t="n">
        <v>0.05</v>
      </c>
      <c r="E9" t="inlineStr">
        <is>
          <t>中端中枢5%（能量维度§3.2稳健）</t>
        </is>
      </c>
    </row>
    <row r="10">
      <c r="A10" t="inlineStr">
        <is>
          <t>▸ 高端渗透率</t>
        </is>
      </c>
      <c r="B10" t="inlineStr">
        <is>
          <t>(手动输入)</t>
        </is>
      </c>
      <c r="C10" t="inlineStr">
        <is>
          <t>%</t>
        </is>
      </c>
      <c r="D10" t="n">
        <v>0.03</v>
      </c>
      <c r="E10" t="inlineStr">
        <is>
          <t>高端中枢3%（能量维度§3.2稳健）</t>
        </is>
      </c>
    </row>
    <row r="11">
      <c r="A11" t="inlineStr">
        <is>
          <t>可换电车企覆盖系数（接入第三方换电网比例）</t>
        </is>
      </c>
      <c r="B11" t="inlineStr">
        <is>
          <t>(手动输入)</t>
        </is>
      </c>
      <c r="C11" t="inlineStr">
        <is>
          <t>%</t>
        </is>
      </c>
      <c r="D11" t="n">
        <v>0.6</v>
      </c>
      <c r="E11" t="inlineStr">
        <is>
          <t>终局研究7.1：第一层不接入，二三/四层为主力；经验假设·非外部信源</t>
        </is>
      </c>
    </row>
    <row r="12">
      <c r="A12" t="inlineStr">
        <is>
          <t>稳健情景换电车辆数</t>
        </is>
      </c>
      <c r="B12">
        <f>ROUND((D8*D12+D9*D13+D10*D14)*D15,0)</f>
        <v/>
      </c>
      <c r="C12" t="inlineStr">
        <is>
          <t>万辆</t>
        </is>
      </c>
      <c r="E12" t="inlineStr">
        <is>
          <t>分档保有×渗透×覆盖系数</t>
        </is>
      </c>
    </row>
    <row r="13">
      <c r="A13" t="inlineStr">
        <is>
          <t>保守情景换电车辆数</t>
        </is>
      </c>
      <c r="B13">
        <f>ROUND((D8*0+D9*0.03+D10*0.0)*D15,0)</f>
        <v/>
      </c>
      <c r="C13" t="inlineStr">
        <is>
          <t>万辆</t>
        </is>
      </c>
      <c r="E13" t="inlineStr">
        <is>
          <t>低端0%+中端3%+高端0%</t>
        </is>
      </c>
    </row>
    <row r="14">
      <c r="A14" t="inlineStr">
        <is>
          <t>激进情景换电车辆数</t>
        </is>
      </c>
      <c r="B14">
        <f>ROUND((D8*0.03+D9*0.10+D10*0.05)*D15,0)</f>
        <v/>
      </c>
      <c r="C14" t="inlineStr">
        <is>
          <t>万辆</t>
        </is>
      </c>
      <c r="E14" t="inlineStr">
        <is>
          <t>低端3%+中端10%+高端5%</t>
        </is>
      </c>
    </row>
    <row r="15">
      <c r="A15" t="inlineStr">
        <is>
          <t>单车标配换电电池（kWh）</t>
        </is>
      </c>
      <c r="B15" t="inlineStr">
        <is>
          <t>(手动输入)</t>
        </is>
      </c>
      <c r="C15" t="inlineStr">
        <is>
          <t>kWh</t>
        </is>
      </c>
      <c r="D15" t="n">
        <v>56</v>
      </c>
      <c r="E15" t="inlineStr">
        <is>
          <t>巧克力换电生态大会 catl.com/news/9516.html</t>
        </is>
      </c>
    </row>
    <row r="16">
      <c r="A16" t="inlineStr">
        <is>
          <t>装车电池CAPEX（稳健,亿）</t>
        </is>
      </c>
      <c r="B16">
        <f>D18*D19*590/10000</f>
        <v/>
      </c>
      <c r="C16" t="inlineStr">
        <is>
          <t>亿</t>
        </is>
      </c>
      <c r="E16" t="inlineStr">
        <is>
          <t>车数×56×590÷1e4</t>
        </is>
      </c>
    </row>
    <row r="17">
      <c r="A17" t="inlineStr">
        <is>
          <t>装车电池CAPEX（保守,亿）</t>
        </is>
      </c>
      <c r="B17">
        <f>D19*D19*590/10000</f>
        <v/>
      </c>
      <c r="C17" t="inlineStr">
        <is>
          <t>亿</t>
        </is>
      </c>
      <c r="E17" t="inlineStr">
        <is>
          <t>保守车数×56×590</t>
        </is>
      </c>
    </row>
    <row r="18">
      <c r="A18" t="inlineStr">
        <is>
          <t>装车电池CAPEX（激进,亿）</t>
        </is>
      </c>
      <c r="B18">
        <f>D20*D19*590/10000</f>
        <v/>
      </c>
      <c r="C18" t="inlineStr">
        <is>
          <t>亿</t>
        </is>
      </c>
      <c r="E18" t="inlineStr">
        <is>
          <t>激进车数×56×590</t>
        </is>
      </c>
    </row>
    <row r="19">
      <c r="A19" t="inlineStr">
        <is>
          <t>站体/站内增量CAPEX（亿）</t>
        </is>
      </c>
      <c r="B19" t="inlineStr">
        <is>
          <t>(手动输入)</t>
        </is>
      </c>
      <c r="C19" t="inlineStr">
        <is>
          <t>亿</t>
        </is>
      </c>
      <c r="D19" t="n">
        <v>0</v>
      </c>
      <c r="E19" t="inlineStr">
        <is>
          <t>站体"免费期权"：3万站已建（框架.md L279），私家车导入提升利用率非新增站体</t>
        </is>
      </c>
    </row>
    <row r="20">
      <c r="A20" t="inlineStr">
        <is>
          <t>全周期CAPEX现值-稳健（亿）</t>
        </is>
      </c>
      <c r="B20">
        <f>D22*1.7+D24</f>
        <v/>
      </c>
      <c r="C20" t="inlineStr">
        <is>
          <t>亿</t>
        </is>
      </c>
      <c r="E20" t="inlineStr">
        <is>
          <t>装车×EAC1.7+站体0</t>
        </is>
      </c>
    </row>
    <row r="21">
      <c r="A21" t="inlineStr">
        <is>
          <t>全周期CAPEX现值-保守（亿）</t>
        </is>
      </c>
      <c r="B21">
        <f>D23*1.7+D24</f>
        <v/>
      </c>
      <c r="C21" t="inlineStr">
        <is>
          <t>亿</t>
        </is>
      </c>
      <c r="E21" t="inlineStr"/>
    </row>
    <row r="22">
      <c r="A22" t="inlineStr">
        <is>
          <t>全周期CAPEX现值-激进（亿）</t>
        </is>
      </c>
      <c r="B22">
        <f>D21*1.7+D24</f>
        <v/>
      </c>
      <c r="C22" t="inlineStr">
        <is>
          <t>亿</t>
        </is>
      </c>
      <c r="E22" t="inlineStr"/>
    </row>
    <row r="23">
      <c r="A23" t="inlineStr">
        <is>
          <t>年EBITDA-稳健（亿）</t>
        </is>
      </c>
      <c r="B23">
        <f>D26*0.14</f>
        <v/>
      </c>
      <c r="C23" t="inlineStr">
        <is>
          <t>亿</t>
        </is>
      </c>
      <c r="E23" t="inlineStr">
        <is>
          <t>全周期×0.14</t>
        </is>
      </c>
    </row>
    <row r="24">
      <c r="A24" t="inlineStr">
        <is>
          <t>整体EV-稳健（亿）</t>
        </is>
      </c>
      <c r="B24">
        <f>D28*18</f>
        <v/>
      </c>
      <c r="C24" t="inlineStr">
        <is>
          <t>亿</t>
        </is>
      </c>
      <c r="E24" t="inlineStr">
        <is>
          <t>EBITDA×18x</t>
        </is>
      </c>
    </row>
    <row r="25">
      <c r="A25" t="inlineStr">
        <is>
          <t>股权价值-稳健（亿）</t>
        </is>
      </c>
      <c r="B25">
        <f>D29-D26*0.6</f>
        <v/>
      </c>
      <c r="C25" t="inlineStr">
        <is>
          <t>亿</t>
        </is>
      </c>
      <c r="E25" t="inlineStr">
        <is>
          <t>EV-债60%</t>
        </is>
      </c>
    </row>
    <row r="26">
      <c r="A26" t="inlineStr">
        <is>
          <t>宁德估值贡献-稳健（亿）</t>
        </is>
      </c>
      <c r="B26">
        <f>D30*0.4</f>
        <v/>
      </c>
      <c r="C26" t="inlineStr">
        <is>
          <t>亿</t>
        </is>
      </c>
      <c r="E26" t="inlineStr">
        <is>
          <t>股权×40%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2026-08-17T03:36:14Z</dcterms:created>
  <dcterms:modified xsi:type="dcterms:W3CDTF">2026-08-17T03:36:14Z</dcterms:modified>
</cp:coreProperties>
</file>