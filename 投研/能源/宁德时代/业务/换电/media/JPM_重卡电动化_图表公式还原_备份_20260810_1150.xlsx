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charts/chart8.xml" ContentType="application/vnd.openxmlformats-officedocument.drawingml.chart+xml"/>
  <Override PartName="/xl/drawings/drawing8.xml" ContentType="application/vnd.openxmlformats-officedocument.drawing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charts/chart7.xml" ContentType="application/vnd.openxmlformats-officedocument.drawingml.chart+xml"/>
  <Override PartName="/xl/drawings/drawing7.xml" ContentType="application/vnd.openxmlformats-officedocument.drawing+xml"/>
  <Override PartName="/docProps/app.xml" ContentType="application/vnd.openxmlformats-officedocument.extended-properties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目录与说明" sheetId="1" r:id="rId3"/>
    <sheet name="Table1_重卡销量快照" sheetId="2" r:id="rId4"/>
    <sheet name="Fig1_电池需求预测" sheetId="3" r:id="rId5"/>
    <sheet name="Fig2_电动重卡最大续航" sheetId="4" r:id="rId6"/>
    <sheet name="Fig3_FY25电池容量结构" sheetId="5" r:id="rId7"/>
    <sheet name="Fig4_4M26电池容量结构" sheetId="6" r:id="rId8"/>
    <sheet name="Fig5_FY25续航结构" sheetId="7" r:id="rId9"/>
    <sheet name="Fig6_4M26续航结构" sheetId="8" r:id="rId10"/>
    <sheet name="Table2_补贴政策对比" sheetId="9" r:id="rId11"/>
    <sheet name="Fig8_百公里运营成本" sheetId="10" r:id="rId12"/>
    <sheet name="Fig10_月度渗透率2026" sheetId="11" r:id="rId13"/>
    <sheet name="Table3_TCO基准情景" sheetId="12" r:id="rId14"/>
    <sheet name="Table4_TCO低气价情景" sheetId="13" r:id="rId15"/>
    <sheet name="Table5_TCO零补贴情景" sheetId="14" r:id="rId16"/>
    <sheet name="换电与基础设施" sheetId="15" r:id="rId17"/>
  </sheets>
  <calcPr calcId="124519" fullCalcOnLoad="1"/>
</workbook>
</file>

<file path=xl/sharedStrings.xml><?xml version="1.0" encoding="utf-8"?>
<sst xmlns="http://schemas.openxmlformats.org/spreadsheetml/2006/main" count="212" uniqueCount="212">
  <si>
    <t/>
  </si>
  <si>
    <t>单位能耗×能源单价</t>
  </si>
  <si>
    <t>‘’=单位能耗×能源单价</t>
  </si>
  <si>
    <t>‘’=单位能耗×能源单价,LNG,diesel计算值＞原表数，先写原表数</t>
  </si>
  <si>
    <t>‘’=单位能耗×能源单价,按原表单价计算LNG,diesel值＞原表数，倒算3种情形单位公里能耗值r9，精确到小数点后2位，发现一致，所以修改r9</t>
  </si>
  <si>
    <r>
      <t>摩根大通《中国重卡电动化》报告：数据与公式还原</t>
    </r>
  </si>
  <si>
    <r>
      <t>本文件基于 J.P. Morgan 2026-06-19 研究报告的图片版整理，所有带色单元格含义如下：</t>
    </r>
  </si>
  <si>
    <r>
      <t>颜色</t>
    </r>
  </si>
  <si>
    <r>
      <t>含义</t>
    </r>
  </si>
  <si>
    <r>
      <t>浅蓝</t>
    </r>
  </si>
  <si>
    <r>
      <t>报告原始数据 / 输入假设</t>
    </r>
  </si>
  <si>
    <r>
      <t>白色</t>
    </r>
  </si>
  <si>
    <r>
      <t>Excel 公式，修改输入后自动重算</t>
    </r>
  </si>
  <si>
    <r>
      <t>橙色</t>
    </r>
  </si>
  <si>
    <r>
      <t>数据来源或说明文字</t>
    </r>
  </si>
  <si>
    <r>
      <t>黄色</t>
    </r>
  </si>
  <si>
    <r>
      <t>关键输出 / 敏感性结果</t>
    </r>
  </si>
  <si>
    <r>
      <t>工作表清单</t>
    </r>
  </si>
  <si>
    <r>
      <t>Table1_重卡销量快照</t>
    </r>
  </si>
  <si>
    <r>
      <t>Fig1_电池需求预测</t>
    </r>
  </si>
  <si>
    <r>
      <t>Fig2_电动重卡最大续航</t>
    </r>
  </si>
  <si>
    <r>
      <t>Fig3_FY25电池容量结构</t>
    </r>
  </si>
  <si>
    <r>
      <t>Fig4_4M26电池容量结构</t>
    </r>
  </si>
  <si>
    <r>
      <t>Fig5_FY25续航结构</t>
    </r>
  </si>
  <si>
    <r>
      <t>Fig6_4M26续航结构</t>
    </r>
  </si>
  <si>
    <r>
      <t>Table2_补贴政策对比</t>
    </r>
  </si>
  <si>
    <r>
      <t>Fig8_百公里运营成本</t>
    </r>
  </si>
  <si>
    <r>
      <t>Fig10_月度渗透率2026</t>
    </r>
  </si>
  <si>
    <r>
      <t>Table3_TCO基准情景</t>
    </r>
  </si>
  <si>
    <r>
      <t>Table4_TCO低气价情景</t>
    </r>
  </si>
  <si>
    <r>
      <t>Table5_TCO零补贴情景</t>
    </r>
  </si>
  <si>
    <r>
      <t>换电与基础设施</t>
    </r>
  </si>
  <si>
    <r>
      <t>Table 1: 中国重卡（HDT）销量与电池装机快照</t>
    </r>
  </si>
  <si>
    <r>
      <t>A. 中国重卡销量（CAAM）</t>
    </r>
  </si>
  <si>
    <r>
      <t>指标</t>
    </r>
  </si>
  <si>
    <r>
      <t>2024</t>
    </r>
  </si>
  <si>
    <r>
      <t>2025</t>
    </r>
  </si>
  <si>
    <r>
      <t>2026年1-4月</t>
    </r>
  </si>
  <si>
    <r>
      <t>信源</t>
    </r>
  </si>
  <si>
    <r>
      <t>重卡总批发销量（千辆，含出口）</t>
    </r>
  </si>
  <si>
    <r>
      <t>CAAM</t>
    </r>
  </si>
  <si>
    <r>
      <t>国内重卡销量（千辆）</t>
    </r>
  </si>
  <si>
    <r>
      <t>新能源重卡销量（千辆）</t>
    </r>
  </si>
  <si>
    <r>
      <t>→ 国内新能源重卡渗透率（%）</t>
    </r>
  </si>
  <si>
    <r>
      <t>公式：NEV销量/国内销量</t>
    </r>
  </si>
  <si>
    <r>
      <t>B. 国内重卡销量与电池装机（GGII）</t>
    </r>
  </si>
  <si>
    <r>
      <t>GGII</t>
    </r>
  </si>
  <si>
    <r>
      <t>重卡电池装机（GWh）</t>
    </r>
  </si>
  <si>
    <r>
      <t>单车带电量（kWh/辆）</t>
    </r>
  </si>
  <si>
    <r>
      <t>公式</t>
    </r>
  </si>
  <si>
    <r>
      <t>C. 新能源卡车与商用车电池（GGII）</t>
    </r>
  </si>
  <si>
    <r>
      <t>新能源卡车销量（千辆）</t>
    </r>
  </si>
  <si>
    <r>
      <t>新能源卡车电池（GWh）</t>
    </r>
  </si>
  <si>
    <r>
      <t>新能源卡车单车带电量（kWh/辆）</t>
    </r>
  </si>
  <si>
    <r>
      <t>重卡电池占卡车电池比重（%）</t>
    </r>
  </si>
  <si>
    <r>
      <t>新能源商用车销量（千辆，卡车+客车）</t>
    </r>
  </si>
  <si>
    <r>
      <t>新能源商用车电池（GWh，卡车+客车）</t>
    </r>
  </si>
  <si>
    <r>
      <t>新能源商用车单车带电量（kWh/辆）</t>
    </r>
  </si>
  <si>
    <r>
      <t>重卡电池占商用车电池比重（%）</t>
    </r>
  </si>
  <si>
    <r>
      <t>D. 中国动力电池总销量与结构（CAAM/GGII）</t>
    </r>
  </si>
  <si>
    <r>
      <t>中国动力电池总销量（GWh，乘用车+商用车）</t>
    </r>
  </si>
  <si>
    <r>
      <t>商用车电池占总销量比重（%）</t>
    </r>
  </si>
  <si>
    <r>
      <t>卡车电池占总销量比重（%）</t>
    </r>
  </si>
  <si>
    <r>
      <t>重卡电池占总销量比重（%）</t>
    </r>
  </si>
  <si>
    <r>
      <t>Figure 1: 中国商用车电池需求与重卡新能源渗透率预测</t>
    </r>
  </si>
  <si>
    <r>
      <t>A. 商用车电池需求历史与预测（GWh）</t>
    </r>
  </si>
  <si>
    <r>
      <t>年份</t>
    </r>
  </si>
  <si>
    <r>
      <t>商用车电池需求（GWh）</t>
    </r>
  </si>
  <si>
    <r>
      <t>信源/假设</t>
    </r>
  </si>
  <si>
    <r>
      <t>JPM图表读取</t>
    </r>
  </si>
  <si>
    <r>
      <t>Table 1/GGII</t>
    </r>
  </si>
  <si>
    <r>
      <t>JPM预测</t>
    </r>
  </si>
  <si>
    <r>
      <t>B. 重卡新能源渗透率预测（%）</t>
    </r>
  </si>
  <si>
    <r>
      <t>HDT NEV渗透率（%）</t>
    </r>
  </si>
  <si>
    <r>
      <t>C. 自下而上重卡电池需求测算（GWh）</t>
    </r>
  </si>
  <si>
    <r>
      <t>NEV渗透率</t>
    </r>
  </si>
  <si>
    <r>
      <t>NEV销量（千辆）</t>
    </r>
  </si>
  <si>
    <r>
      <t>单车带电量（kWh）</t>
    </r>
  </si>
  <si>
    <r>
      <t>重卡电池需求（GWh）</t>
    </r>
  </si>
  <si>
    <r>
      <t>CAAM/GGII实际</t>
    </r>
  </si>
  <si>
    <r>
      <t>JPM假设</t>
    </r>
  </si>
  <si>
    <r>
      <t>重卡电池需求 CAGR 2025-2030</t>
    </r>
  </si>
  <si>
    <r>
      <t>Figure 2: 顶级电动重卡最大续航里程（km）</t>
    </r>
  </si>
  <si>
    <r>
      <t>最大续航（km）</t>
    </r>
  </si>
  <si>
    <r>
      <t>Figure 3: FY25 新能源重卡电池容量结构</t>
    </r>
  </si>
  <si>
    <r>
      <t>电池容量区间</t>
    </r>
  </si>
  <si>
    <r>
      <t>占比（%）</t>
    </r>
  </si>
  <si>
    <r>
      <t>&lt;200kWh</t>
    </r>
  </si>
  <si>
    <r>
      <t>200-300kWh</t>
    </r>
  </si>
  <si>
    <r>
      <t>300-400kWh</t>
    </r>
  </si>
  <si>
    <r>
      <t>400-500kWh</t>
    </r>
  </si>
  <si>
    <r>
      <t>&gt;500kWh</t>
    </r>
  </si>
  <si>
    <r>
      <t>Figure 4: 2026年1-4月 新能源重卡电池容量结构</t>
    </r>
  </si>
  <si>
    <r>
      <t>Figure 5: FY25 新能源重卡续航结构</t>
    </r>
  </si>
  <si>
    <r>
      <t>&lt;300km</t>
    </r>
  </si>
  <si>
    <r>
      <t>300-500km</t>
    </r>
  </si>
  <si>
    <r>
      <t>500-700km</t>
    </r>
  </si>
  <si>
    <r>
      <t>700-900km</t>
    </r>
  </si>
  <si>
    <r>
      <t>&gt;900km</t>
    </r>
  </si>
  <si>
    <r>
      <t>Figure 6: 2026年1-4月 新能源重卡续航结构</t>
    </r>
  </si>
  <si>
    <r>
      <t>Table 2: 中国新能源商用车补贴对比（2025 vs 2026）</t>
    </r>
  </si>
  <si>
    <r>
      <t>类别</t>
    </r>
  </si>
  <si>
    <r>
      <t>项目</t>
    </r>
  </si>
  <si>
    <r>
      <t>2026</t>
    </r>
  </si>
  <si>
    <r>
      <t>关键变化</t>
    </r>
  </si>
  <si>
    <r>
      <t>购置税</t>
    </r>
  </si>
  <si>
    <r>
      <t>全额免征（0%）</t>
    </r>
  </si>
  <si>
    <r>
      <t>减半（实际5%）</t>
    </r>
  </si>
  <si>
    <r>
      <t>优惠减少，但仍无上限</t>
    </r>
  </si>
  <si>
    <r>
      <t>以旧换新补贴</t>
    </r>
  </si>
  <si>
    <r>
      <t>可报废车辆</t>
    </r>
  </si>
  <si>
    <r>
      <t>国三及以下柴油商用车</t>
    </r>
  </si>
  <si>
    <r>
      <t>国三、国四柴油商用车</t>
    </r>
  </si>
  <si>
    <r>
      <t>覆盖范围显著扩大</t>
    </r>
  </si>
  <si>
    <r>
      <t>报废补贴</t>
    </r>
  </si>
  <si>
    <r>
      <t>不变</t>
    </r>
  </si>
  <si>
    <r>
      <t>新能源重卡购置补贴</t>
    </r>
  </si>
  <si>
    <r>
      <t>单车补贴合计上限</t>
    </r>
  </si>
  <si>
    <r>
      <t>Figure 8: 重卡每百公里运营成本（Rmb/100km）</t>
    </r>
  </si>
  <si>
    <r>
      <t>动力类型</t>
    </r>
  </si>
  <si>
    <r>
      <t>成本（Rmb/100km）</t>
    </r>
  </si>
  <si>
    <r>
      <t>说明</t>
    </r>
  </si>
  <si>
    <r>
      <t>电动</t>
    </r>
  </si>
  <si>
    <r>
      <t>JPM估算</t>
    </r>
  </si>
  <si>
    <r>
      <t>LNG-2025年均价</t>
    </r>
  </si>
  <si>
    <r>
      <t>LNG 4.2元/kg</t>
    </r>
  </si>
  <si>
    <r>
      <t>LNG-现价</t>
    </r>
  </si>
  <si>
    <r>
      <t>LNG 6.2元/kg</t>
    </r>
  </si>
  <si>
    <r>
      <t>柴油</t>
    </r>
  </si>
  <si>
    <r>
      <t>Figure 10: 2026年1-5月 电动 vs LNG 重卡渗透率</t>
    </r>
  </si>
  <si>
    <r>
      <t>月份</t>
    </r>
  </si>
  <si>
    <r>
      <t>电动重卡渗透率</t>
    </r>
  </si>
  <si>
    <r>
      <t>LNG重卡渗透率</t>
    </r>
  </si>
  <si>
    <r>
      <t>2026-01</t>
    </r>
  </si>
  <si>
    <r>
      <t>2026-02</t>
    </r>
  </si>
  <si>
    <r>
      <t>2026-03</t>
    </r>
  </si>
  <si>
    <r>
      <t>2026-04</t>
    </r>
  </si>
  <si>
    <r>
      <t>2026-05</t>
    </r>
  </si>
  <si>
    <r>
      <t>Table 3: TCO 对比——基准情景（LNG 6.2元/kg，有补贴）</t>
    </r>
  </si>
  <si>
    <r>
      <t>核心假设参数</t>
    </r>
  </si>
  <si>
    <r>
      <t>参数</t>
    </r>
  </si>
  <si>
    <r>
      <t>LNG</t>
    </r>
  </si>
  <si>
    <r>
      <t>购置价（Rmb）</t>
    </r>
  </si>
  <si>
    <r>
      <t>购置税率（%）</t>
    </r>
  </si>
  <si>
    <r>
      <t>购置补贴（Rmb）</t>
    </r>
  </si>
  <si>
    <r>
      <t>年行驶里程（km）</t>
    </r>
  </si>
  <si>
    <r>
      <t>单位能耗（kWh/kg/L / km）</t>
    </r>
  </si>
  <si>
    <r>
      <t>电：kWh/km；LNG：kg/km；柴油：L/km</t>
    </r>
  </si>
  <si>
    <r>
      <t>能源单价（Rmb / kWh,kg,L）</t>
    </r>
  </si>
  <si>
    <r>
      <t>单位里程能源成本（Rmb/km）</t>
    </r>
  </si>
  <si>
    <r>
      <t>年维护成本（Rmb）</t>
    </r>
  </si>
  <si>
    <r>
      <t>年载重损失成本（Rmb）</t>
    </r>
  </si>
  <si>
    <r>
      <t>计算结果</t>
    </r>
  </si>
  <si>
    <r>
      <t>购置总成本（Rmb）</t>
    </r>
  </si>
  <si>
    <r>
      <t>年能源成本（Rmb）</t>
    </r>
  </si>
  <si>
    <r>
      <t>年运营成本（Rmb）</t>
    </r>
  </si>
  <si>
    <r>
      <t>TCO 3年（Rmb）</t>
    </r>
  </si>
  <si>
    <r>
      <t>TCO 5年（Rmb）</t>
    </r>
  </si>
  <si>
    <r>
      <t>TCO 8年（Rmb）</t>
    </r>
  </si>
  <si>
    <r>
      <t>TCO 10年（Rmb）</t>
    </r>
  </si>
  <si>
    <r>
      <t>电动 vs LNG 差异（3年）</t>
    </r>
  </si>
  <si>
    <r>
      <t>电动 vs LNG 差异（5年）</t>
    </r>
  </si>
  <si>
    <r>
      <t>电动 vs LNG 差异（8年）</t>
    </r>
  </si>
  <si>
    <r>
      <t>电动 vs LNG 差异（10年）</t>
    </r>
  </si>
  <si>
    <r>
      <t>电动 vs 柴油 差异（3年）</t>
    </r>
  </si>
  <si>
    <r>
      <t>电动 vs 柴油 差异（5年）</t>
    </r>
  </si>
  <si>
    <r>
      <t>电动 vs 柴油 差异（8年）</t>
    </r>
  </si>
  <si>
    <r>
      <t>电动 vs 柴油 差异（10年）</t>
    </r>
  </si>
  <si>
    <r>
      <t>Table 4: TCO 对比——低 LNG 价格情景（LNG 4.2元/kg，有补贴）</t>
    </r>
  </si>
  <si>
    <r>
      <t>Table 5: TCO 对比——补贴退坡情景（无补贴，购置税10%）</t>
    </r>
  </si>
  <si>
    <r>
      <t>重卡换电与基础设施关键数据</t>
    </r>
  </si>
  <si>
    <r>
      <t>数值</t>
    </r>
  </si>
  <si>
    <r>
      <t>信源/说明</t>
    </r>
  </si>
  <si>
    <r>
      <t>400kWh 电池包占整车成本</t>
    </r>
  </si>
  <si>
    <r>
      <t>30-40万元</t>
    </r>
  </si>
  <si>
    <r>
      <t>换电模式可降低初始购车成本</t>
    </r>
  </si>
  <si>
    <r>
      <t>40-50%</t>
    </r>
  </si>
  <si>
    <r>
      <t>单次换电时间</t>
    </r>
  </si>
  <si>
    <r>
      <t>约5分钟</t>
    </r>
  </si>
  <si>
    <r>
      <t>CATL</t>
    </r>
  </si>
  <si>
    <r>
      <t>传统充电时间</t>
    </r>
  </si>
  <si>
    <r>
      <t>约1.5小时</t>
    </r>
  </si>
  <si>
    <r>
      <t>JPM</t>
    </r>
  </si>
  <si>
    <r>
      <t>年运营里程 15 万公里的换电重卡可额外获得运营小时数</t>
    </r>
  </si>
  <si>
    <r>
      <t>约200小时/年</t>
    </r>
  </si>
  <si>
    <r>
      <t>对应年增收</t>
    </r>
  </si>
  <si>
    <r>
      <t>约4万元/车</t>
    </r>
  </si>
  <si>
    <r>
      <t>2026年4月全国换电站总数</t>
    </r>
  </si>
  <si>
    <r>
      <t>EVCIPA</t>
    </r>
  </si>
  <si>
    <r>
      <t>2026年1-4月新增换电站</t>
    </r>
  </si>
  <si>
    <r>
      <t>约1000座</t>
    </r>
  </si>
  <si>
    <r>
      <t>重卡换电站估算数量</t>
    </r>
  </si>
  <si>
    <r>
      <t>700-1200座</t>
    </r>
  </si>
  <si>
    <r>
      <t>2030年目标：重卡充换电站</t>
    </r>
  </si>
  <si>
    <r>
      <t>约3000座</t>
    </r>
  </si>
  <si>
    <r>
      <t>国家方案</t>
    </r>
  </si>
  <si>
    <r>
      <t>2030年目标：零碳货运走廊</t>
    </r>
  </si>
  <si>
    <r>
      <t>约3万公里</t>
    </r>
  </si>
  <si>
    <r>
      <t>CATL 骐骥换电站（2025年底）</t>
    </r>
  </si>
  <si>
    <r>
      <t>CATL 骐骥换电站（2026年底目标）</t>
    </r>
  </si>
  <si>
    <r>
      <t>CATL 骐骥标准电池包 No.75 单包电量</t>
    </r>
  </si>
  <si>
    <r>
      <t>171 kWh</t>
    </r>
  </si>
  <si>
    <r>
      <t>单车可配置电池包数量</t>
    </r>
  </si>
  <si>
    <r>
      <t>1-3包</t>
    </r>
  </si>
  <si>
    <r>
      <t>单车最大电量</t>
    </r>
  </si>
  <si>
    <r>
      <t>&gt;500 kWh</t>
    </r>
  </si>
  <si>
    <r>
      <t>单站每小时可服务车辆</t>
    </r>
  </si>
  <si>
    <r>
      <t>约7辆</t>
    </r>
  </si>
  <si>
    <r>
      <t>JPM现场</t>
    </r>
  </si>
  <si>
    <r>
      <t>单站日换电能力</t>
    </r>
  </si>
  <si>
    <r>
      <t>约168次</t>
    </r>
  </si>
  <si>
    <r>
      <t>单站最大电池包储量</t>
    </r>
  </si>
</sst>
</file>

<file path=xl/styles.xml><?xml version="1.0" encoding="utf-8"?>
<styleSheet xmlns="http://schemas.openxmlformats.org/spreadsheetml/2006/main">
  <numFmts count="4">
    <numFmt numFmtId="300" formatCode="0.0"/>
    <numFmt numFmtId="301" formatCode="0.0%"/>
    <numFmt numFmtId="302" formatCode="General"/>
    <numFmt numFmtId="303" formatCode="#,##0.000"/>
  </numFmts>
  <fonts count="12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1F4E78"/>
      <sz val="14"/>
    </font>
    <font>
      <i val="1"/>
    </font>
    <font>
      <b val="1"/>
    </font>
    <font>
      <b val="1"/>
      <color rgb="FF1F4E78"/>
      <sz val="11"/>
    </font>
    <font>
      <name val="Calibri"/>
      <family val="2"/>
      <color theme="1"/>
      <sz val="11"/>
      <scheme val="minor"/>
    </font>
    <font>
      <name val="Calibri"/>
    </font>
    <font>
      <sz val="10"/>
    </font>
    <font>
      <sz val="9"/>
    </font>
    <font>
      <name val="Calibri"/>
      <color theme="1"/>
      <sz val="11"/>
    </font>
  </fonts>
  <fills count="9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/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/>
      <right/>
      <top/>
      <bottom/>
      <diagonal/>
    </border>
  </borders>
  <cellStyleXfs>
    <xf numFmtId="302" fontId="7" fillId="7" borderId="2" xfId="0"/>
  </cellStyleXfs>
  <cellXfs count="4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2" fontId="3" fillId="7" borderId="2" xfId="0" applyFont="1"/>
    <xf numFmtId="302" fontId="4" fillId="7" borderId="2" xfId="0" applyFont="1"/>
    <xf numFmtId="302" fontId="5" fillId="2" borderId="1" xfId="0" applyFont="1" applyFill="1" applyBorder="1" applyAlignment="1">
      <alignment horizontal="center" vertical="center" wrapText="1"/>
    </xf>
    <xf numFmtId="302" fontId="5" fillId="3" borderId="1" xfId="0" applyFont="1" applyFill="1" applyBorder="1" applyAlignment="1">
      <alignment horizontal="left" vertical="center" wrapText="1"/>
    </xf>
    <xf numFmtId="302" fontId="7" fillId="4" borderId="1" xfId="0" applyFill="1" applyBorder="1" applyAlignment="1">
      <alignment horizontal="left" vertical="center" wrapText="1"/>
    </xf>
    <xf numFmtId="302" fontId="5" fillId="4" borderId="1" xfId="0" applyFont="1" applyFill="1" applyBorder="1" applyAlignment="1">
      <alignment horizontal="left" vertical="center" wrapText="1"/>
    </xf>
    <xf numFmtId="302" fontId="5" fillId="5" borderId="1" xfId="0" applyFont="1" applyFill="1" applyBorder="1" applyAlignment="1">
      <alignment horizontal="left" vertical="center" wrapText="1"/>
    </xf>
    <xf numFmtId="302" fontId="5" fillId="6" borderId="1" xfId="0" applyFont="1" applyFill="1" applyBorder="1" applyAlignment="1">
      <alignment horizontal="left" vertical="center" wrapText="1"/>
    </xf>
    <xf numFmtId="302" fontId="6" fillId="7" borderId="2" xfId="0" applyFont="1"/>
    <xf numFmtId="302" fontId="7" fillId="7" borderId="2" xfId="0"/>
    <xf numFmtId="302" fontId="7" fillId="3" borderId="1" xfId="0" applyFill="1" applyBorder="1" applyAlignment="1">
      <alignment horizontal="left" vertical="center" wrapText="1"/>
    </xf>
    <xf numFmtId="300" fontId="7" fillId="3" borderId="1" xfId="0" applyNumberFormat="1" applyFill="1" applyBorder="1" applyAlignment="1">
      <alignment horizontal="left" vertical="center" wrapText="1"/>
    </xf>
    <xf numFmtId="302" fontId="7" fillId="5" borderId="1" xfId="0" applyFill="1" applyBorder="1" applyAlignment="1">
      <alignment horizontal="left" vertical="center" wrapText="1"/>
    </xf>
    <xf numFmtId="9" fontId="5" fillId="4" borderId="1" xfId="0" applyNumberFormat="1" applyFont="1" applyFill="1" applyBorder="1" applyAlignment="1">
      <alignment horizontal="left" vertical="center" wrapText="1"/>
    </xf>
    <xf numFmtId="302" fontId="7" fillId="7" borderId="1" xfId="0" applyBorder="1" applyAlignment="1">
      <alignment horizontal="left" vertical="center" wrapText="1"/>
    </xf>
    <xf numFmtId="1" fontId="7" fillId="3" borderId="1" xfId="0" applyNumberFormat="1" applyFill="1" applyBorder="1" applyAlignment="1">
      <alignment horizontal="left" vertical="center" wrapText="1"/>
    </xf>
    <xf numFmtId="1" fontId="5" fillId="4" borderId="1" xfId="0" applyNumberFormat="1" applyFont="1" applyFill="1" applyBorder="1" applyAlignment="1">
      <alignment horizontal="left" vertical="center" wrapText="1"/>
    </xf>
    <xf numFmtId="9" fontId="7" fillId="3" borderId="1" xfId="0" applyNumberFormat="1" applyFill="1" applyBorder="1" applyAlignment="1">
      <alignment horizontal="left" vertical="center" wrapText="1"/>
    </xf>
    <xf numFmtId="1" fontId="5" fillId="3" borderId="1" xfId="0" applyNumberFormat="1" applyFont="1" applyFill="1" applyBorder="1" applyAlignment="1">
      <alignment horizontal="left" vertical="center" wrapText="1"/>
    </xf>
    <xf numFmtId="300" fontId="5" fillId="4" borderId="1" xfId="0" applyNumberFormat="1" applyFont="1" applyFill="1" applyBorder="1" applyAlignment="1">
      <alignment horizontal="left" vertical="center" wrapText="1"/>
    </xf>
    <xf numFmtId="301" fontId="5" fillId="6" borderId="1" xfId="0" applyNumberFormat="1" applyFont="1" applyFill="1" applyBorder="1" applyAlignment="1">
      <alignment horizontal="left" vertical="center" wrapText="1"/>
    </xf>
    <xf numFmtId="3" fontId="7" fillId="3" borderId="1" xfId="0" applyNumberFormat="1" applyFill="1" applyBorder="1" applyAlignment="1">
      <alignment horizontal="left" vertical="center" wrapText="1"/>
    </xf>
    <xf numFmtId="4" fontId="7" fillId="3" borderId="1" xfId="0" applyNumberFormat="1" applyFill="1" applyBorder="1" applyAlignment="1">
      <alignment horizontal="left" vertical="center" wrapText="1"/>
    </xf>
    <xf numFmtId="3" fontId="5" fillId="4" borderId="1" xfId="0" applyNumberFormat="1" applyFont="1" applyFill="1" applyBorder="1" applyAlignment="1">
      <alignment horizontal="left" vertical="center" wrapText="1"/>
    </xf>
    <xf numFmtId="301" fontId="5" fillId="4" borderId="1" xfId="0" applyNumberFormat="1" applyFont="1" applyFill="1" applyBorder="1" applyAlignment="1">
      <alignment horizontal="left" vertical="center" wrapText="1"/>
    </xf>
    <xf numFmtId="0" fontId="8" fillId="5" borderId="1" xfId="0" applyNumberFormat="1" applyFont="1" applyFill="1" applyBorder="1" applyAlignment="1">
      <alignment horizontal="left" vertical="center" wrapText="1"/>
    </xf>
    <xf numFmtId="303" fontId="7" fillId="3" borderId="1" xfId="0" applyNumberFormat="1" applyFill="1" applyBorder="1" applyAlignment="1">
      <alignment horizontal="left" vertical="center" wrapText="1"/>
    </xf>
    <xf numFmtId="303" fontId="0" fillId="3" borderId="1" xfId="0">
      <alignment horizontal="left" vertical="center" wrapText="1"/>
    </xf>
    <xf numFmtId="303" fontId="7" fillId="4" borderId="1" xfId="0" applyNumberFormat="1" applyFill="1" applyBorder="1" applyAlignment="1">
      <alignment horizontal="left" vertical="center" wrapText="1"/>
    </xf>
    <xf numFmtId="303" fontId="0" fillId="4" borderId="1" xfId="0">
      <alignment horizontal="left" vertical="center" wrapText="1"/>
    </xf>
    <xf numFmtId="303" fontId="9" fillId="4" borderId="1" xfId="0" applyNumberFormat="1" applyFont="1" applyFill="1" applyBorder="1" applyAlignment="1">
      <alignment horizontal="left" vertical="center" wrapText="1"/>
    </xf>
    <xf numFmtId="303" fontId="9" fillId="4" borderId="1" xfId="0">
      <alignment horizontal="left" vertical="center" wrapText="1"/>
    </xf>
    <xf numFmtId="303" fontId="10" fillId="4" borderId="1" xfId="0" applyNumberFormat="1" applyFont="1" applyFill="1" applyBorder="1" applyAlignment="1">
      <alignment horizontal="left" vertical="center" wrapText="1"/>
    </xf>
    <xf numFmtId="303" fontId="10" fillId="4" borderId="1" xfId="0">
      <alignment horizontal="left" vertical="center" wrapText="1"/>
    </xf>
    <xf numFmtId="303" fontId="10" fillId="8" borderId="1" xfId="0">
      <alignment horizontal="left" vertical="center" wrapText="1"/>
    </xf>
    <xf numFmtId="62" fontId="0" fillId="3" borderId="1" xfId="0">
      <alignment horizontal="left" vertical="center" wrapText="1"/>
    </xf>
    <xf numFmtId="62" fontId="7" fillId="3" borderId="1" xfId="0" applyNumberFormat="1" applyFill="1" applyBorder="1" applyAlignment="1">
      <alignment horizontal="left" vertical="center" wrapText="1"/>
    </xf>
    <xf numFmtId="4" fontId="11" fillId="3" borderId="1" xfId="0" applyNumberFormat="1" applyFont="1" applyFill="1" applyBorder="1" applyAlignment="1">
      <alignment horizontal="left" vertical="center" wrapText="1"/>
    </xf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12" Type="http://schemas.openxmlformats.org/officeDocument/2006/relationships/worksheet" Target="worksheets/sheet10.xml" /><Relationship Id="rId11" Type="http://schemas.openxmlformats.org/officeDocument/2006/relationships/worksheet" Target="worksheets/sheet9.xml" /><Relationship Id="rId0" Type="http://schemas.openxmlformats.org/officeDocument/2006/relationships/sharedStrings" Target="sharedStrings.xml" /><Relationship Id="rId14" Type="http://schemas.openxmlformats.org/officeDocument/2006/relationships/worksheet" Target="worksheets/sheet12.xml" /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10" Type="http://schemas.openxmlformats.org/officeDocument/2006/relationships/worksheet" Target="worksheets/sheet8.xml" /><Relationship Id="rId13" Type="http://schemas.openxmlformats.org/officeDocument/2006/relationships/worksheet" Target="worksheets/sheet11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charts/chart1.xml><?xml version="1.0" encoding="utf-8"?>
<c:chartSpace xmlns:a="http://schemas.openxmlformats.org/drawingml/2006/main" xmlns:c="http://schemas.openxmlformats.org/drawingml/2006/chart">
  <c:chart>
    <c:title>
      <c:tx>
        <c:rich>
          <a:bodyPr/>
          <a:p>
            <a:pPr>
              <a:defRPr/>
            </a:pPr>
            <a:r>
              <a:t>Figure 6: 2026年1-4月 新能源重卡续航结构</a:t>
            </a:r>
          </a:p>
        </c:rich>
      </c:tx>
    </c:title>
    <c:plotArea>
      <c:pieChart>
        <c:varyColors val="1"/>
        <c:ser>
          <c:idx val="0"/>
          <c:order val="0"/>
          <c:tx>
            <c:strRef>
              <c:f>'Fig6_4M26续航结构'!$B$3</c:f>
            </c:strRef>
          </c:tx>
          <c:spPr>
            <a:ln>
              <a:prstDash val="solid"/>
            </a:ln>
          </c:spPr>
          <c:cat>
            <c:numRef>
              <c:f>'Fig6_4M26续航结构'!$A$4:$A$8</c:f>
            </c:numRef>
          </c:cat>
          <c:val>
            <c:numRef>
              <c:f>'Fig6_4M26续航结构'!$B$4:$B$8</c:f>
            </c:numRef>
          </c:val>
        </c:ser>
        <c:dLbls>
          <c:showPercent val="1"/>
        </c:dLbls>
        <c:firstSliceAng val="0"/>
      </c:pieChart>
    </c:plotArea>
    <c:legend>
      <c:legendPos val="r"/>
    </c:legend>
    <c:plotVisOnly val="1"/>
    <c:dispBlanksAs val="gap"/>
  </c:chart>
</c:chartSpace>
</file>

<file path=xl/charts/chart2.xml><?xml version="1.0" encoding="utf-8"?>
<c:chartSpace xmlns:a="http://schemas.openxmlformats.org/drawingml/2006/main" xmlns:c="http://schemas.openxmlformats.org/drawingml/2006/chart">
  <c:chart>
    <c:title>
      <c:tx>
        <c:rich>
          <a:bodyPr/>
          <a:p>
            <a:pPr>
              <a:defRPr/>
            </a:pPr>
            <a:r>
              <a:t>重卡每百公里运营成本</a:t>
            </a:r>
          </a:p>
        </c:rich>
      </c:tx>
    </c:title>
    <c:plotArea>
      <c:barChart>
        <c:barDir val="col"/>
        <c:grouping val="clustered"/>
        <c:ser>
          <c:idx val="0"/>
          <c:order val="0"/>
          <c:tx>
            <c:strRef>
              <c:f>'Fig8_百公里运营成本'!$B$3</c:f>
            </c:strRef>
          </c:tx>
          <c:spPr>
            <a:ln>
              <a:prstDash val="solid"/>
            </a:ln>
          </c:spPr>
          <c:cat>
            <c:numRef>
              <c:f>'Fig8_百公里运营成本'!$A$4:$A$7</c:f>
            </c:numRef>
          </c:cat>
          <c:val>
            <c:numRef>
              <c:f>'Fig8_百公里运营成本'!$B$4:$B$7</c:f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axPos val="l"/>
        <c:majorTickMark val="none"/>
        <c:minorTickMark val="none"/>
        <c:crossAx val="100"/>
        <c:lblOffset val="100"/>
      </c:catAx>
      <c:valAx>
        <c:axId val="100"/>
        <c:scaling>
          <c:orientation val="minMax"/>
        </c:scaling>
        <c:axPos val="l"/>
        <c:majorGridlines/>
        <c:majorTickMark val="none"/>
        <c:minorTickMark val="none"/>
        <c:crossAx val="10"/>
      </c:valAx>
    </c:plotArea>
    <c:legend>
      <c:legendPos val="r"/>
    </c:legend>
    <c:plotVisOnly val="1"/>
    <c:dispBlanksAs val="gap"/>
  </c:chart>
</c:chartSpace>
</file>

<file path=xl/charts/chart3.xml><?xml version="1.0" encoding="utf-8"?>
<c:chartSpace xmlns:a="http://schemas.openxmlformats.org/drawingml/2006/main" xmlns:c="http://schemas.openxmlformats.org/drawingml/2006/chart">
  <c:chart>
    <c:title>
      <c:tx>
        <c:rich>
          <a:bodyPr/>
          <a:p>
            <a:pPr>
              <a:defRPr/>
            </a:pPr>
            <a:r>
              <a:t>2026年电动 vs LNG 重卡渗透率</a:t>
            </a:r>
          </a:p>
        </c:rich>
      </c:tx>
    </c:title>
    <c:plotArea>
      <c:lineChart>
        <c:grouping val="standard"/>
        <c:ser>
          <c:idx val="0"/>
          <c:order val="0"/>
          <c:tx>
            <c:strRef>
              <c:f>'Fig10_月度渗透率2026'!$B$3</c:f>
            </c:strRef>
          </c:tx>
          <c:spPr>
            <a:ln>
              <a:prstDash val="solid"/>
            </a:ln>
          </c:spPr>
          <c:marker>
            <c:symbol val="none"/>
            <c:spPr>
              <a:ln>
                <a:prstDash val="solid"/>
              </a:ln>
            </c:spPr>
          </c:marker>
          <c:cat>
            <c:numRef>
              <c:f>'Fig10_月度渗透率2026'!$A$4:$A$8</c:f>
            </c:numRef>
          </c:cat>
          <c:val>
            <c:numRef>
              <c:f>'Fig10_月度渗透率2026'!$B$4:$B$8</c:f>
            </c:numRef>
          </c:val>
        </c:ser>
        <c:ser>
          <c:idx val="1"/>
          <c:order val="1"/>
          <c:tx>
            <c:strRef>
              <c:f>'Fig10_月度渗透率2026'!$C$3</c:f>
            </c:strRef>
          </c:tx>
          <c:spPr>
            <a:ln>
              <a:prstDash val="solid"/>
            </a:ln>
          </c:spPr>
          <c:marker>
            <c:symbol val="none"/>
            <c:spPr>
              <a:ln>
                <a:prstDash val="solid"/>
              </a:ln>
            </c:spPr>
          </c:marker>
          <c:cat>
            <c:numRef>
              <c:f>'Fig10_月度渗透率2026'!$A$4:$A$8</c:f>
            </c:numRef>
          </c:cat>
          <c:val>
            <c:numRef>
              <c:f>'Fig10_月度渗透率2026'!$C$4:$C$8</c:f>
            </c:numRef>
          </c:val>
        </c:ser>
        <c:axId val="10"/>
        <c:axId val="100"/>
      </c:lineChart>
      <c:catAx>
        <c:axId val="10"/>
        <c:scaling>
          <c:orientation val="minMax"/>
        </c:scaling>
        <c:axPos val="l"/>
        <c:majorTickMark val="none"/>
        <c:minorTickMark val="none"/>
        <c:crossAx val="100"/>
        <c:lblOffset val="100"/>
      </c:catAx>
      <c:valAx>
        <c:axId val="100"/>
        <c:scaling>
          <c:orientation val="minMax"/>
        </c:scaling>
        <c:axPos val="l"/>
        <c:majorGridlines/>
        <c:majorTickMark val="none"/>
        <c:minorTickMark val="none"/>
        <c:crossAx val="10"/>
      </c:valAx>
    </c:plotArea>
    <c:legend>
      <c:legendPos val="r"/>
    </c:legend>
    <c:plotVisOnly val="1"/>
    <c:dispBlanksAs val="gap"/>
  </c:chart>
</c:chartSpace>
</file>

<file path=xl/charts/chart4.xml><?xml version="1.0" encoding="utf-8"?>
<c:chartSpace xmlns:a="http://schemas.openxmlformats.org/drawingml/2006/main" xmlns:c="http://schemas.openxmlformats.org/drawingml/2006/chart">
  <c:style val="10"/>
  <c:chart>
    <c:title>
      <c:tx>
        <c:rich>
          <a:bodyPr/>
          <a:p>
            <a:pPr>
              <a:defRPr/>
            </a:pPr>
            <a:r>
              <a:t>Figure 1: 中国商用车电池需求与重卡NEV渗透率</a:t>
            </a:r>
          </a:p>
        </c:rich>
      </c:tx>
    </c:title>
    <c:plotArea>
      <c:barChart>
        <c:barDir val="col"/>
        <c:grouping val="clustered"/>
        <c:ser>
          <c:idx val="0"/>
          <c:order val="0"/>
          <c:tx>
            <c:strRef>
              <c:f>'Fig1_电池需求预测'!$B$4</c:f>
            </c:strRef>
          </c:tx>
          <c:spPr>
            <a:ln>
              <a:prstDash val="solid"/>
            </a:ln>
          </c:spPr>
          <c:cat>
            <c:numRef>
              <c:f>'Fig1_电池需求预测'!$A$5:$A$13</c:f>
            </c:numRef>
          </c:cat>
          <c:val>
            <c:numRef>
              <c:f>'Fig1_电池需求预测'!$B$5:$B$13</c:f>
            </c:numRef>
          </c:val>
        </c:ser>
        <c:gapWidth val="150"/>
        <c:axId val="10"/>
        <c:axId val="100"/>
      </c:barChart>
      <c:lineChart>
        <c:grouping val="standard"/>
        <c:ser>
          <c:idx val="1"/>
          <c:order val="1"/>
          <c:tx>
            <c:strRef>
              <c:f>'Fig1_电池需求预测'!$B$16</c:f>
            </c:strRef>
          </c:tx>
          <c:spPr>
            <a:ln>
              <a:prstDash val="solid"/>
            </a:ln>
          </c:spPr>
          <c:marker>
            <c:symbol val="none"/>
            <c:spPr>
              <a:ln>
                <a:prstDash val="solid"/>
              </a:ln>
            </c:spPr>
          </c:marker>
          <c:val>
            <c:numRef>
              <c:f>'Fig1_电池需求预测'!$B$17:$B$25</c:f>
            </c:numRef>
          </c:val>
        </c:ser>
        <c:axId val="10"/>
        <c:axId val="200"/>
      </c:lineChart>
      <c:catAx>
        <c:axId val="10"/>
        <c:scaling>
          <c:orientation val="minMax"/>
        </c:scaling>
        <c:axPos val="l"/>
        <c:title>
          <c:tx>
            <c:rich>
              <a:bodyPr/>
              <a:p>
                <a:pPr>
                  <a:defRPr/>
                </a:pPr>
                <a:r>
                  <a:t>年份</a:t>
                </a:r>
              </a:p>
            </c:rich>
          </c:tx>
        </c:title>
        <c:majorTickMark val="none"/>
        <c:minorTickMark val="none"/>
        <c:crossAx val="100"/>
        <c:lblOffset val="100"/>
      </c:catAx>
      <c:valAx>
        <c:axId val="100"/>
        <c:scaling>
          <c:orientation val="minMax"/>
        </c:scaling>
        <c:axPos val="l"/>
        <c:majorGridlines/>
        <c:title>
          <c:tx>
            <c:rich>
              <a:bodyPr/>
              <a:p>
                <a:pPr>
                  <a:defRPr/>
                </a:pPr>
                <a:r>
                  <a:t>GWh / %</a:t>
                </a:r>
              </a:p>
            </c:rich>
          </c:tx>
        </c:title>
        <c:majorTickMark val="none"/>
        <c:minorTickMark val="none"/>
        <c:crossAx val="10"/>
      </c:valAx>
      <c:valAx>
        <c:axId val="200"/>
        <c:scaling>
          <c:orientation val="minMax"/>
        </c:scaling>
        <c:axPos val="l"/>
        <c:majorGridlines/>
        <c:title>
          <c:tx>
            <c:rich>
              <a:bodyPr/>
              <a:p>
                <a:pPr>
                  <a:defRPr/>
                </a:pPr>
                <a:r>
                  <a:t>渗透率</a:t>
                </a:r>
              </a:p>
            </c:rich>
          </c:tx>
        </c:title>
        <c:majorTickMark val="none"/>
        <c:minorTickMark val="none"/>
        <c:crossAx val="10"/>
      </c:valAx>
    </c:plotArea>
    <c:legend>
      <c:legendPos val="r"/>
    </c:legend>
    <c:plotVisOnly val="1"/>
    <c:dispBlanksAs val="gap"/>
  </c:chart>
</c:chartSpace>
</file>

<file path=xl/charts/chart5.xml><?xml version="1.0" encoding="utf-8"?>
<c:chartSpace xmlns:a="http://schemas.openxmlformats.org/drawingml/2006/main" xmlns:c="http://schemas.openxmlformats.org/drawingml/2006/chart">
  <c:chart>
    <c:title>
      <c:tx>
        <c:rich>
          <a:bodyPr/>
          <a:p>
            <a:pPr>
              <a:defRPr/>
            </a:pPr>
            <a:r>
              <a:t>电动重卡最大续航</a:t>
            </a:r>
          </a:p>
        </c:rich>
      </c:tx>
    </c:title>
    <c:plotArea>
      <c:barChart>
        <c:barDir val="col"/>
        <c:grouping val="clustered"/>
        <c:ser>
          <c:idx val="0"/>
          <c:order val="0"/>
          <c:tx>
            <c:strRef>
              <c:f>'Fig2_电动重卡最大续航'!$B$3</c:f>
            </c:strRef>
          </c:tx>
          <c:spPr>
            <a:ln>
              <a:prstDash val="solid"/>
            </a:ln>
          </c:spPr>
          <c:cat>
            <c:numRef>
              <c:f>'Fig2_电动重卡最大续航'!$A$4:$A$7</c:f>
            </c:numRef>
          </c:cat>
          <c:val>
            <c:numRef>
              <c:f>'Fig2_电动重卡最大续航'!$B$4:$B$7</c:f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axPos val="l"/>
        <c:majorTickMark val="none"/>
        <c:minorTickMark val="none"/>
        <c:crossAx val="100"/>
        <c:lblOffset val="100"/>
      </c:catAx>
      <c:valAx>
        <c:axId val="100"/>
        <c:scaling>
          <c:orientation val="minMax"/>
        </c:scaling>
        <c:axPos val="l"/>
        <c:majorGridlines/>
        <c:majorTickMark val="none"/>
        <c:minorTickMark val="none"/>
        <c:crossAx val="10"/>
      </c:valAx>
    </c:plotArea>
    <c:legend>
      <c:legendPos val="r"/>
    </c:legend>
    <c:plotVisOnly val="1"/>
    <c:dispBlanksAs val="gap"/>
  </c:chart>
</c:chartSpace>
</file>

<file path=xl/charts/chart6.xml><?xml version="1.0" encoding="utf-8"?>
<c:chartSpace xmlns:a="http://schemas.openxmlformats.org/drawingml/2006/main" xmlns:c="http://schemas.openxmlformats.org/drawingml/2006/chart">
  <c:chart>
    <c:title>
      <c:tx>
        <c:rich>
          <a:bodyPr/>
          <a:p>
            <a:pPr>
              <a:defRPr/>
            </a:pPr>
            <a:r>
              <a:t>Figure 3: FY25 新能源重卡电池容量结构</a:t>
            </a:r>
          </a:p>
        </c:rich>
      </c:tx>
    </c:title>
    <c:plotArea>
      <c:pieChart>
        <c:varyColors val="1"/>
        <c:ser>
          <c:idx val="0"/>
          <c:order val="0"/>
          <c:tx>
            <c:strRef>
              <c:f>'Fig3_FY25电池容量结构'!$B$3</c:f>
            </c:strRef>
          </c:tx>
          <c:spPr>
            <a:ln>
              <a:prstDash val="solid"/>
            </a:ln>
          </c:spPr>
          <c:cat>
            <c:numRef>
              <c:f>'Fig3_FY25电池容量结构'!$A$4:$A$8</c:f>
            </c:numRef>
          </c:cat>
          <c:val>
            <c:numRef>
              <c:f>'Fig3_FY25电池容量结构'!$B$4:$B$8</c:f>
            </c:numRef>
          </c:val>
        </c:ser>
        <c:dLbls>
          <c:showPercent val="1"/>
        </c:dLbls>
        <c:firstSliceAng val="0"/>
      </c:pieChart>
    </c:plotArea>
    <c:legend>
      <c:legendPos val="r"/>
    </c:legend>
    <c:plotVisOnly val="1"/>
    <c:dispBlanksAs val="gap"/>
  </c:chart>
</c:chartSpace>
</file>

<file path=xl/charts/chart7.xml><?xml version="1.0" encoding="utf-8"?>
<c:chartSpace xmlns:a="http://schemas.openxmlformats.org/drawingml/2006/main" xmlns:c="http://schemas.openxmlformats.org/drawingml/2006/chart">
  <c:chart>
    <c:title>
      <c:tx>
        <c:rich>
          <a:bodyPr/>
          <a:p>
            <a:pPr>
              <a:defRPr/>
            </a:pPr>
            <a:r>
              <a:t>Figure 4: 2026年1-4月 新能源重卡电池容量结构</a:t>
            </a:r>
          </a:p>
        </c:rich>
      </c:tx>
    </c:title>
    <c:plotArea>
      <c:pieChart>
        <c:varyColors val="1"/>
        <c:ser>
          <c:idx val="0"/>
          <c:order val="0"/>
          <c:tx>
            <c:strRef>
              <c:f>'Fig4_4M26电池容量结构'!$B$3</c:f>
            </c:strRef>
          </c:tx>
          <c:spPr>
            <a:ln>
              <a:prstDash val="solid"/>
            </a:ln>
          </c:spPr>
          <c:cat>
            <c:numRef>
              <c:f>'Fig4_4M26电池容量结构'!$A$4:$A$8</c:f>
            </c:numRef>
          </c:cat>
          <c:val>
            <c:numRef>
              <c:f>'Fig4_4M26电池容量结构'!$B$4:$B$8</c:f>
            </c:numRef>
          </c:val>
        </c:ser>
        <c:dLbls>
          <c:showPercent val="1"/>
        </c:dLbls>
        <c:firstSliceAng val="0"/>
      </c:pieChart>
    </c:plotArea>
    <c:legend>
      <c:legendPos val="r"/>
    </c:legend>
    <c:plotVisOnly val="1"/>
    <c:dispBlanksAs val="gap"/>
  </c:chart>
</c:chartSpace>
</file>

<file path=xl/charts/chart8.xml><?xml version="1.0" encoding="utf-8"?>
<c:chartSpace xmlns:a="http://schemas.openxmlformats.org/drawingml/2006/main" xmlns:c="http://schemas.openxmlformats.org/drawingml/2006/chart">
  <c:chart>
    <c:title>
      <c:tx>
        <c:rich>
          <a:bodyPr/>
          <a:p>
            <a:pPr>
              <a:defRPr/>
            </a:pPr>
            <a:r>
              <a:t>Figure 5: FY25 新能源重卡续航结构</a:t>
            </a:r>
          </a:p>
        </c:rich>
      </c:tx>
    </c:title>
    <c:plotArea>
      <c:pieChart>
        <c:varyColors val="1"/>
        <c:ser>
          <c:idx val="0"/>
          <c:order val="0"/>
          <c:tx>
            <c:strRef>
              <c:f>'Fig5_FY25续航结构'!$B$3</c:f>
            </c:strRef>
          </c:tx>
          <c:spPr>
            <a:ln>
              <a:prstDash val="solid"/>
            </a:ln>
          </c:spPr>
          <c:cat>
            <c:numRef>
              <c:f>'Fig5_FY25续航结构'!$A$4:$A$8</c:f>
            </c:numRef>
          </c:cat>
          <c:val>
            <c:numRef>
              <c:f>'Fig5_FY25续航结构'!$B$4:$B$8</c:f>
            </c:numRef>
          </c:val>
        </c:ser>
        <c:dLbls>
          <c:showPercent val="1"/>
        </c:dLbls>
        <c:firstSliceAng val="0"/>
      </c:pieChart>
    </c:plotArea>
    <c:legend>
      <c:legendPos val="r"/>
    </c:legend>
    <c:plotVisOnly val="1"/>
    <c:dispBlanksAs val="gap"/>
  </c:chart>
</c:chartSpace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0" Type="http://schemas.openxmlformats.org/officeDocument/2006/relationships/chart" Target="../charts/chart2.xml" /></Relationships>
</file>

<file path=xl/drawings/_rels/drawing3.xml.rels><?xml version="1.0" encoding="UTF-8" standalone="yes"?><Relationships xmlns="http://schemas.openxmlformats.org/package/2006/relationships"><Relationship Id="rId0" Type="http://schemas.openxmlformats.org/officeDocument/2006/relationships/chart" Target="../charts/chart3.xml" /></Relationships>
</file>

<file path=xl/drawings/_rels/drawing4.xml.rels><?xml version="1.0" encoding="UTF-8" standalone="yes"?><Relationships xmlns="http://schemas.openxmlformats.org/package/2006/relationships"><Relationship Id="rId0" Type="http://schemas.openxmlformats.org/officeDocument/2006/relationships/chart" Target="../charts/chart4.xml" /></Relationships>
</file>

<file path=xl/drawings/_rels/drawing5.xml.rels><?xml version="1.0" encoding="UTF-8" standalone="yes"?><Relationships xmlns="http://schemas.openxmlformats.org/package/2006/relationships"><Relationship Id="rId0" Type="http://schemas.openxmlformats.org/officeDocument/2006/relationships/chart" Target="../charts/chart5.xml" /></Relationships>
</file>

<file path=xl/drawings/_rels/drawing6.xml.rels><?xml version="1.0" encoding="UTF-8" standalone="yes"?><Relationships xmlns="http://schemas.openxmlformats.org/package/2006/relationships"><Relationship Id="rId0" Type="http://schemas.openxmlformats.org/officeDocument/2006/relationships/chart" Target="../charts/chart6.xml" /></Relationships>
</file>

<file path=xl/drawings/_rels/drawing7.xml.rels><?xml version="1.0" encoding="UTF-8" standalone="yes"?><Relationships xmlns="http://schemas.openxmlformats.org/package/2006/relationships"><Relationship Id="rId0" Type="http://schemas.openxmlformats.org/officeDocument/2006/relationships/chart" Target="../charts/chart7.xml" /></Relationships>
</file>

<file path=xl/drawings/_rels/drawing8.xml.rels><?xml version="1.0" encoding="UTF-8" standalone="yes"?><Relationships xmlns="http://schemas.openxmlformats.org/package/2006/relationships"><Relationship Id="rId0" Type="http://schemas.openxmlformats.org/officeDocument/2006/relationships/chart" Target="../charts/chart8.xml" /></Relationships>
</file>

<file path=xl/drawings/drawing1.xml><?xml version="1.0" encoding="utf-8"?>
<xdr:wsDr xmlns:r="http://schemas.openxmlformats.org/officeDocument/2006/relationships" xmlns:xdr="http://schemas.openxmlformats.org/drawingml/2006/spreadsheetDrawing" xmlns:a="http://schemas.openxmlformats.org/drawingml/2006/main" xmlns:c="http://schemas.openxmlformats.org/drawingml/2006/chart">
  <xdr:oneCellAnchor>
    <xdr:from>
      <xdr:col>3</xdr:col>
      <xdr:colOff>0</xdr:colOff>
      <xdr:row>2</xdr:row>
      <xdr:rowOff>0</xdr:rowOff>
    </xdr:from>
    <xdr:ext cx="5400000" cy="2700000"/>
    <xdr:graphicFrame>
      <xdr:nvGraphicFramePr>
        <xdr:cNvPr id="1" name="Chart 1"/>
        <xdr:cNvGraphicFramePr/>
      </xdr:nvGraphicFramePr>
      <xdr:xfrm/>
      <a:graphic>
        <a:graphicData uri="http://schemas.openxmlformats.org/drawingml/2006/chart">
          <c:chart r:id="rId0"/>
        </a:graphicData>
      </a:graphic>
    </xdr:graphicFrame>
    <xdr:clientData/>
  </xdr:oneCellAnchor>
</xdr:wsDr>
</file>

<file path=xl/drawings/drawing2.xml><?xml version="1.0" encoding="utf-8"?>
<xdr:wsDr xmlns:r="http://schemas.openxmlformats.org/officeDocument/2006/relationships" xmlns:xdr="http://schemas.openxmlformats.org/drawingml/2006/spreadsheetDrawing" xmlns:a="http://schemas.openxmlformats.org/drawingml/2006/main" xmlns:c="http://schemas.openxmlformats.org/drawingml/2006/chart">
  <xdr:oneCellAnchor>
    <xdr:from>
      <xdr:col>4</xdr:col>
      <xdr:colOff>0</xdr:colOff>
      <xdr:row>2</xdr:row>
      <xdr:rowOff>0</xdr:rowOff>
    </xdr:from>
    <xdr:ext cx="5400000" cy="2700000"/>
    <xdr:graphicFrame>
      <xdr:nvGraphicFramePr>
        <xdr:cNvPr id="2" name="Chart 1"/>
        <xdr:cNvGraphicFramePr/>
      </xdr:nvGraphicFramePr>
      <xdr:xfrm/>
      <a:graphic>
        <a:graphicData uri="http://schemas.openxmlformats.org/drawingml/2006/chart">
          <c:chart r:id="rId0"/>
        </a:graphicData>
      </a:graphic>
    </xdr:graphicFrame>
    <xdr:clientData/>
  </xdr:oneCellAnchor>
</xdr:wsDr>
</file>

<file path=xl/drawings/drawing3.xml><?xml version="1.0" encoding="utf-8"?>
<xdr:wsDr xmlns:r="http://schemas.openxmlformats.org/officeDocument/2006/relationships" xmlns:xdr="http://schemas.openxmlformats.org/drawingml/2006/spreadsheetDrawing" xmlns:a="http://schemas.openxmlformats.org/drawingml/2006/main" xmlns:c="http://schemas.openxmlformats.org/drawingml/2006/chart">
  <xdr:oneCellAnchor>
    <xdr:from>
      <xdr:col>4</xdr:col>
      <xdr:colOff>0</xdr:colOff>
      <xdr:row>2</xdr:row>
      <xdr:rowOff>0</xdr:rowOff>
    </xdr:from>
    <xdr:ext cx="5400000" cy="2700000"/>
    <xdr:graphicFrame>
      <xdr:nvGraphicFramePr>
        <xdr:cNvPr id="3" name="Chart 1"/>
        <xdr:cNvGraphicFramePr/>
      </xdr:nvGraphicFramePr>
      <xdr:xfrm/>
      <a:graphic>
        <a:graphicData uri="http://schemas.openxmlformats.org/drawingml/2006/chart">
          <c:chart r:id="rId0"/>
        </a:graphicData>
      </a:graphic>
    </xdr:graphicFrame>
    <xdr:clientData/>
  </xdr:oneCellAnchor>
</xdr:wsDr>
</file>

<file path=xl/drawings/drawing4.xml><?xml version="1.0" encoding="utf-8"?>
<xdr:wsDr xmlns:r="http://schemas.openxmlformats.org/officeDocument/2006/relationships" xmlns:xdr="http://schemas.openxmlformats.org/drawingml/2006/spreadsheetDrawing" xmlns:a="http://schemas.openxmlformats.org/drawingml/2006/main" xmlns:c="http://schemas.openxmlformats.org/drawingml/2006/chart">
  <xdr:oneCellAnchor>
    <xdr:from>
      <xdr:col>4</xdr:col>
      <xdr:colOff>0</xdr:colOff>
      <xdr:row>3</xdr:row>
      <xdr:rowOff>0</xdr:rowOff>
    </xdr:from>
    <xdr:ext cx="7200000" cy="3600000"/>
    <xdr:graphicFrame>
      <xdr:nvGraphicFramePr>
        <xdr:cNvPr id="4" name="Chart 1"/>
        <xdr:cNvGraphicFramePr/>
      </xdr:nvGraphicFramePr>
      <xdr:xfrm/>
      <a:graphic>
        <a:graphicData uri="http://schemas.openxmlformats.org/drawingml/2006/chart">
          <c:chart r:id="rId0"/>
        </a:graphicData>
      </a:graphic>
    </xdr:graphicFrame>
    <xdr:clientData/>
  </xdr:oneCellAnchor>
</xdr:wsDr>
</file>

<file path=xl/drawings/drawing5.xml><?xml version="1.0" encoding="utf-8"?>
<xdr:wsDr xmlns:r="http://schemas.openxmlformats.org/officeDocument/2006/relationships" xmlns:xdr="http://schemas.openxmlformats.org/drawingml/2006/spreadsheetDrawing" xmlns:a="http://schemas.openxmlformats.org/drawingml/2006/main" xmlns:c="http://schemas.openxmlformats.org/drawingml/2006/chart">
  <xdr:oneCellAnchor>
    <xdr:from>
      <xdr:col>4</xdr:col>
      <xdr:colOff>0</xdr:colOff>
      <xdr:row>2</xdr:row>
      <xdr:rowOff>0</xdr:rowOff>
    </xdr:from>
    <xdr:ext cx="5400000" cy="2700000"/>
    <xdr:graphicFrame>
      <xdr:nvGraphicFramePr>
        <xdr:cNvPr id="5" name="Chart 1"/>
        <xdr:cNvGraphicFramePr/>
      </xdr:nvGraphicFramePr>
      <xdr:xfrm/>
      <a:graphic>
        <a:graphicData uri="http://schemas.openxmlformats.org/drawingml/2006/chart">
          <c:chart r:id="rId0"/>
        </a:graphicData>
      </a:graphic>
    </xdr:graphicFrame>
    <xdr:clientData/>
  </xdr:oneCellAnchor>
</xdr:wsDr>
</file>

<file path=xl/drawings/drawing6.xml><?xml version="1.0" encoding="utf-8"?>
<xdr:wsDr xmlns:r="http://schemas.openxmlformats.org/officeDocument/2006/relationships" xmlns:xdr="http://schemas.openxmlformats.org/drawingml/2006/spreadsheetDrawing" xmlns:a="http://schemas.openxmlformats.org/drawingml/2006/main" xmlns:c="http://schemas.openxmlformats.org/drawingml/2006/chart">
  <xdr:oneCellAnchor>
    <xdr:from>
      <xdr:col>3</xdr:col>
      <xdr:colOff>0</xdr:colOff>
      <xdr:row>2</xdr:row>
      <xdr:rowOff>0</xdr:rowOff>
    </xdr:from>
    <xdr:ext cx="5400000" cy="2700000"/>
    <xdr:graphicFrame>
      <xdr:nvGraphicFramePr>
        <xdr:cNvPr id="6" name="Chart 1"/>
        <xdr:cNvGraphicFramePr/>
      </xdr:nvGraphicFramePr>
      <xdr:xfrm/>
      <a:graphic>
        <a:graphicData uri="http://schemas.openxmlformats.org/drawingml/2006/chart">
          <c:chart r:id="rId0"/>
        </a:graphicData>
      </a:graphic>
    </xdr:graphicFrame>
    <xdr:clientData/>
  </xdr:oneCellAnchor>
</xdr:wsDr>
</file>

<file path=xl/drawings/drawing7.xml><?xml version="1.0" encoding="utf-8"?>
<xdr:wsDr xmlns:r="http://schemas.openxmlformats.org/officeDocument/2006/relationships" xmlns:xdr="http://schemas.openxmlformats.org/drawingml/2006/spreadsheetDrawing" xmlns:a="http://schemas.openxmlformats.org/drawingml/2006/main" xmlns:c="http://schemas.openxmlformats.org/drawingml/2006/chart">
  <xdr:oneCellAnchor>
    <xdr:from>
      <xdr:col>3</xdr:col>
      <xdr:colOff>0</xdr:colOff>
      <xdr:row>2</xdr:row>
      <xdr:rowOff>0</xdr:rowOff>
    </xdr:from>
    <xdr:ext cx="5400000" cy="2700000"/>
    <xdr:graphicFrame>
      <xdr:nvGraphicFramePr>
        <xdr:cNvPr id="7" name="Chart 1"/>
        <xdr:cNvGraphicFramePr/>
      </xdr:nvGraphicFramePr>
      <xdr:xfrm/>
      <a:graphic>
        <a:graphicData uri="http://schemas.openxmlformats.org/drawingml/2006/chart">
          <c:chart r:id="rId0"/>
        </a:graphicData>
      </a:graphic>
    </xdr:graphicFrame>
    <xdr:clientData/>
  </xdr:oneCellAnchor>
</xdr:wsDr>
</file>

<file path=xl/drawings/drawing8.xml><?xml version="1.0" encoding="utf-8"?>
<xdr:wsDr xmlns:r="http://schemas.openxmlformats.org/officeDocument/2006/relationships" xmlns:xdr="http://schemas.openxmlformats.org/drawingml/2006/spreadsheetDrawing" xmlns:a="http://schemas.openxmlformats.org/drawingml/2006/main" xmlns:c="http://schemas.openxmlformats.org/drawingml/2006/chart">
  <xdr:oneCellAnchor>
    <xdr:from>
      <xdr:col>3</xdr:col>
      <xdr:colOff>0</xdr:colOff>
      <xdr:row>2</xdr:row>
      <xdr:rowOff>0</xdr:rowOff>
    </xdr:from>
    <xdr:ext cx="5400000" cy="2700000"/>
    <xdr:graphicFrame>
      <xdr:nvGraphicFramePr>
        <xdr:cNvPr id="8" name="Chart 1"/>
        <xdr:cNvGraphicFramePr/>
      </xdr:nvGraphicFramePr>
      <xdr:xfrm/>
      <a:graphic>
        <a:graphicData uri="http://schemas.openxmlformats.org/drawingml/2006/chart">
          <c:chart r:id="rId0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4.xml" /></Relationships>
</file>

<file path=xl/worksheets/_rels/sheet4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5.xml" /></Relationships>
</file>

<file path=xl/worksheets/_rels/sheet5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6.xml" /></Relationships>
</file>

<file path=xl/worksheets/_rels/sheet6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7.xml" /></Relationships>
</file>

<file path=xl/worksheets/_rels/sheet7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8.xml" /></Relationships>
</file>

<file path=xl/worksheets/_rels/sheet8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_rels/sheet10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2.xml" /></Relationships>
</file>

<file path=xl/worksheets/_rels/sheet1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6"/>
  <sheetViews>
    <sheetView showGridLines="1" workbookViewId="0"/>
  </sheetViews>
  <sheetFormatPr baseColWidth="8" defaultRowHeight="15"/>
  <cols>
    <col min="1" max="1" width="40" customWidth="1"/>
    <col min="2" max="2" width="60" customWidth="1"/>
  </cols>
  <sheetData>
    <row r="1" spans="1:1">
      <c r="A1" s="4" t="s">
        <v>5</v>
      </c>
    </row>
    <row r="3" spans="1:1">
      <c r="A3" s="5" t="s">
        <v>6</v>
      </c>
    </row>
    <row r="5" spans="1:2">
      <c r="A5" s="6" t="s">
        <v>7</v>
      </c>
      <c r="B5" s="6" t="s">
        <v>8</v>
      </c>
    </row>
    <row r="6" spans="1:2">
      <c r="A6" s="7" t="s">
        <v>9</v>
      </c>
      <c r="B6" s="8" t="s">
        <v>10</v>
      </c>
    </row>
    <row r="7" spans="1:2">
      <c r="A7" s="9" t="s">
        <v>11</v>
      </c>
      <c r="B7" s="8" t="s">
        <v>12</v>
      </c>
    </row>
    <row r="8" spans="1:2">
      <c r="A8" s="10" t="s">
        <v>13</v>
      </c>
      <c r="B8" s="8" t="s">
        <v>14</v>
      </c>
    </row>
    <row r="9" spans="1:2">
      <c r="A9" s="11" t="s">
        <v>15</v>
      </c>
      <c r="B9" s="8" t="s">
        <v>16</v>
      </c>
    </row>
    <row r="12" spans="1:1">
      <c r="A12" s="12" t="s">
        <v>17</v>
      </c>
    </row>
    <row r="13" spans="1:1">
      <c r="A13" s="13" t="s">
        <v>18</v>
      </c>
    </row>
    <row r="14" spans="1:1">
      <c r="A14" s="13" t="s">
        <v>19</v>
      </c>
    </row>
    <row r="15" spans="1:1">
      <c r="A15" s="13" t="s">
        <v>20</v>
      </c>
    </row>
    <row r="16" spans="1:1">
      <c r="A16" s="13" t="s">
        <v>21</v>
      </c>
    </row>
    <row r="17" spans="1:1">
      <c r="A17" s="13" t="s">
        <v>22</v>
      </c>
    </row>
    <row r="18" spans="1:1">
      <c r="A18" s="13" t="s">
        <v>23</v>
      </c>
    </row>
    <row r="19" spans="1:1">
      <c r="A19" s="13" t="s">
        <v>24</v>
      </c>
    </row>
    <row r="20" spans="1:1">
      <c r="A20" s="13" t="s">
        <v>25</v>
      </c>
    </row>
    <row r="21" spans="1:1">
      <c r="A21" s="13" t="s">
        <v>26</v>
      </c>
    </row>
    <row r="22" spans="1:1">
      <c r="A22" s="13" t="s">
        <v>27</v>
      </c>
    </row>
    <row r="23" spans="1:1">
      <c r="A23" s="13" t="s">
        <v>28</v>
      </c>
    </row>
    <row r="24" spans="1:1">
      <c r="A24" s="13" t="s">
        <v>29</v>
      </c>
    </row>
    <row r="25" spans="1:1">
      <c r="A25" s="13" t="s">
        <v>30</v>
      </c>
    </row>
    <row r="26" spans="1:1">
      <c r="A26" s="13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E33"/>
  <sheetViews>
    <sheetView showGridLines="1" workbookViewId="0"/>
  </sheetViews>
  <sheetFormatPr baseColWidth="8" defaultRowHeight="15"/>
  <cols>
    <col min="1" max="1" width="36" customWidth="1"/>
    <col min="2" max="2" width="16" customWidth="1"/>
    <col min="3" max="3" width="16" customWidth="1"/>
    <col min="4" max="4" width="18" customWidth="1"/>
    <col min="5" max="5" width="18" customWidth="1"/>
  </cols>
  <sheetData>
    <row r="1" spans="1:1">
      <c r="A1" s="4" t="s">
        <v>32</v>
      </c>
    </row>
    <row r="3" spans="1:1">
      <c r="A3" s="12" t="s">
        <v>33</v>
      </c>
    </row>
    <row r="4" spans="1:5">
      <c r="A4" s="6" t="s">
        <v>34</v>
      </c>
      <c r="B4" s="6" t="s">
        <v>35</v>
      </c>
      <c r="C4" s="6" t="s">
        <v>36</v>
      </c>
      <c r="D4" s="6" t="s">
        <v>37</v>
      </c>
      <c r="E4" s="6" t="s">
        <v>38</v>
      </c>
    </row>
    <row r="5" spans="1:5">
      <c r="A5" s="14" t="s">
        <v>39</v>
      </c>
      <c r="B5" s="15">
        <v>902</v>
      </c>
      <c r="C5" s="15">
        <v>1144</v>
      </c>
      <c r="D5" s="15">
        <v>435</v>
      </c>
      <c r="E5" s="16" t="s">
        <v>40</v>
      </c>
    </row>
    <row r="6" spans="1:5">
      <c r="A6" s="14" t="s">
        <v>41</v>
      </c>
      <c r="B6" s="15">
        <v>611</v>
      </c>
      <c r="C6" s="15">
        <v>783</v>
      </c>
      <c r="D6" s="15">
        <v>273</v>
      </c>
      <c r="E6" s="16" t="s">
        <v>40</v>
      </c>
    </row>
    <row r="7" spans="1:5">
      <c r="A7" s="14" t="s">
        <v>42</v>
      </c>
      <c r="B7" s="15">
        <v>69</v>
      </c>
      <c r="C7" s="15">
        <v>192</v>
      </c>
      <c r="D7" s="15">
        <v>78</v>
      </c>
      <c r="E7" s="16" t="s">
        <v>40</v>
      </c>
    </row>
    <row r="8" spans="1:5">
      <c r="A8" s="13" t="s">
        <v>43</v>
      </c>
      <c r="B8" s="17">
        <f>=B7/B6</f>
        <v>0.112929623567921</v>
      </c>
      <c r="C8" s="17">
        <f>=C7/C6</f>
        <v>0.245210727969349</v>
      </c>
      <c r="D8" s="17">
        <f>=D7/D6</f>
        <v>0.285714285714286</v>
      </c>
      <c r="E8" s="16" t="s">
        <v>44</v>
      </c>
    </row>
    <row r="10" spans="1:1">
      <c r="A10" s="12" t="s">
        <v>45</v>
      </c>
    </row>
    <row r="11" spans="1:5">
      <c r="A11" s="6" t="s">
        <v>34</v>
      </c>
      <c r="B11" s="6" t="s">
        <v>35</v>
      </c>
      <c r="C11" s="6" t="s">
        <v>36</v>
      </c>
      <c r="D11" s="6" t="s">
        <v>37</v>
      </c>
      <c r="E11" s="6" t="s">
        <v>38</v>
      </c>
    </row>
    <row r="12" spans="1:5">
      <c r="A12" s="18" t="s">
        <v>42</v>
      </c>
      <c r="B12" s="18" t="s"/>
      <c r="C12" s="19">
        <v>224</v>
      </c>
      <c r="D12" s="19">
        <v>72</v>
      </c>
      <c r="E12" s="16" t="s">
        <v>46</v>
      </c>
    </row>
    <row r="13" spans="1:5">
      <c r="A13" s="18" t="s">
        <v>47</v>
      </c>
      <c r="B13" s="18" t="s"/>
      <c r="C13" s="19">
        <v>93</v>
      </c>
      <c r="D13" s="19">
        <v>30</v>
      </c>
      <c r="E13" s="16" t="s">
        <v>46</v>
      </c>
    </row>
    <row r="14" spans="1:5">
      <c r="A14" s="18" t="s">
        <v>48</v>
      </c>
      <c r="B14" s="18" t="s"/>
      <c r="C14" s="20">
        <f>=C13*1000/C12</f>
        <v>415.178571428572</v>
      </c>
      <c r="D14" s="20">
        <f>=D13*1000/D12</f>
        <v>416.666666666667</v>
      </c>
      <c r="E14" s="16" t="s">
        <v>49</v>
      </c>
    </row>
    <row r="16" spans="1:1">
      <c r="A16" s="12" t="s">
        <v>50</v>
      </c>
    </row>
    <row r="17" spans="1:5">
      <c r="A17" s="6" t="s">
        <v>34</v>
      </c>
      <c r="B17" s="6" t="s">
        <v>35</v>
      </c>
      <c r="C17" s="6" t="s">
        <v>36</v>
      </c>
      <c r="D17" s="6" t="s">
        <v>37</v>
      </c>
      <c r="E17" s="6" t="s">
        <v>38</v>
      </c>
    </row>
    <row r="18" spans="1:5">
      <c r="A18" s="18" t="s">
        <v>51</v>
      </c>
      <c r="B18" s="19">
        <v>486</v>
      </c>
      <c r="C18" s="19">
        <v>679</v>
      </c>
      <c r="D18" s="19">
        <v>226</v>
      </c>
      <c r="E18" s="16" t="s">
        <v>46</v>
      </c>
    </row>
    <row r="19" spans="1:5">
      <c r="A19" s="18" t="s">
        <v>52</v>
      </c>
      <c r="B19" s="19">
        <v>52</v>
      </c>
      <c r="C19" s="19">
        <v>124</v>
      </c>
      <c r="D19" s="19">
        <v>41</v>
      </c>
      <c r="E19" s="16" t="s">
        <v>46</v>
      </c>
    </row>
    <row r="20" spans="1:5">
      <c r="A20" s="18" t="s">
        <v>53</v>
      </c>
      <c r="B20" s="20">
        <f>=B19*1000/B18</f>
        <v>106.995884773663</v>
      </c>
      <c r="C20" s="20">
        <f>=C19*1000/C18</f>
        <v>182.621502209131</v>
      </c>
      <c r="D20" s="20">
        <f>=D19*1000/D18</f>
        <v>181.41592920354</v>
      </c>
      <c r="E20" s="16" t="s">
        <v>49</v>
      </c>
    </row>
    <row r="21" spans="1:5">
      <c r="A21" s="18" t="s">
        <v>54</v>
      </c>
      <c r="B21" s="18" t="s"/>
      <c r="C21" s="17">
        <f>=C13/C19</f>
        <v>0.75</v>
      </c>
      <c r="D21" s="17">
        <f>=D13/D19</f>
        <v>0.731707317073171</v>
      </c>
      <c r="E21" s="16" t="s">
        <v>49</v>
      </c>
    </row>
    <row r="22" spans="1:5">
      <c r="A22" s="18" t="s">
        <v>55</v>
      </c>
      <c r="B22" s="19">
        <v>535</v>
      </c>
      <c r="C22" s="19">
        <v>730</v>
      </c>
      <c r="D22" s="19">
        <v>234</v>
      </c>
      <c r="E22" s="16" t="s">
        <v>46</v>
      </c>
    </row>
    <row r="23" spans="1:5">
      <c r="A23" s="18" t="s">
        <v>56</v>
      </c>
      <c r="B23" s="19">
        <v>62</v>
      </c>
      <c r="C23" s="19">
        <v>135</v>
      </c>
      <c r="D23" s="19">
        <v>43</v>
      </c>
      <c r="E23" s="16" t="s">
        <v>46</v>
      </c>
    </row>
    <row r="24" spans="1:5">
      <c r="A24" s="18" t="s">
        <v>57</v>
      </c>
      <c r="B24" s="20">
        <f>=B23*1000/B22</f>
        <v>115.88785046729</v>
      </c>
      <c r="C24" s="20">
        <f>=C23*1000/C22</f>
        <v>184.931506849315</v>
      </c>
      <c r="D24" s="20">
        <f>=D23*1000/D22</f>
        <v>183.760683760684</v>
      </c>
      <c r="E24" s="16" t="s">
        <v>49</v>
      </c>
    </row>
    <row r="25" spans="1:5">
      <c r="A25" s="18" t="s">
        <v>58</v>
      </c>
      <c r="B25" s="18" t="s"/>
      <c r="C25" s="17">
        <f>=C13/C23</f>
        <v>0.688888888888889</v>
      </c>
      <c r="D25" s="17">
        <f>=D13/D23</f>
        <v>0.697674418604651</v>
      </c>
      <c r="E25" s="16" t="s">
        <v>49</v>
      </c>
    </row>
    <row r="28" spans="1:1">
      <c r="A28" s="12" t="s">
        <v>59</v>
      </c>
    </row>
    <row r="29" spans="1:5">
      <c r="A29" s="6" t="s">
        <v>34</v>
      </c>
      <c r="B29" s="6" t="s">
        <v>35</v>
      </c>
      <c r="C29" s="6" t="s">
        <v>36</v>
      </c>
      <c r="D29" s="6" t="s">
        <v>37</v>
      </c>
      <c r="E29" s="6" t="s">
        <v>38</v>
      </c>
    </row>
    <row r="30" spans="1:5">
      <c r="A30" s="18" t="s">
        <v>60</v>
      </c>
      <c r="B30" s="19">
        <v>530</v>
      </c>
      <c r="C30" s="19">
        <v>715</v>
      </c>
      <c r="D30" s="19">
        <v>187</v>
      </c>
      <c r="E30" s="16" t="s">
        <v>40</v>
      </c>
    </row>
    <row r="31" spans="1:5">
      <c r="A31" s="18" t="s">
        <v>61</v>
      </c>
      <c r="B31" s="17">
        <f>=B23/B30</f>
        <v>0.116981132075472</v>
      </c>
      <c r="C31" s="17">
        <f>=C23/C30</f>
        <v>0.188811188811189</v>
      </c>
      <c r="D31" s="17">
        <f>=D23/D30</f>
        <v>0.229946524064171</v>
      </c>
      <c r="E31" s="16" t="s">
        <v>49</v>
      </c>
    </row>
    <row r="32" spans="1:5">
      <c r="A32" s="18" t="s">
        <v>62</v>
      </c>
      <c r="B32" s="17">
        <f>=B19/B30</f>
        <v>0.0981132075471698</v>
      </c>
      <c r="C32" s="17">
        <f>=C19/C30</f>
        <v>0.173426573426573</v>
      </c>
      <c r="D32" s="17">
        <f>=D19/D30</f>
        <v>0.219251336898396</v>
      </c>
      <c r="E32" s="16" t="s">
        <v>49</v>
      </c>
    </row>
    <row r="33" spans="1:5">
      <c r="A33" s="18" t="s">
        <v>63</v>
      </c>
      <c r="B33" s="19" t="s"/>
      <c r="C33" s="17">
        <f>=C13/C30</f>
        <v>0.13006993006993</v>
      </c>
      <c r="D33" s="17">
        <f>=D13/D30</f>
        <v>0.160427807486631</v>
      </c>
      <c r="E33" s="16" t="s">
        <v>49</v>
      </c>
    </row>
  </sheetData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G37"/>
  <sheetViews>
    <sheetView showGridLines="1" workbookViewId="0"/>
  </sheetViews>
  <sheetFormatPr baseColWidth="8" defaultRowHeight="15"/>
  <cols>
    <col min="1" max="1" width="12" customWidth="1"/>
    <col min="2" max="2" width="22" customWidth="1"/>
    <col min="3" max="3" width="14" customWidth="1"/>
    <col min="4" max="4" width="16" customWidth="1"/>
    <col min="5" max="5" width="18" customWidth="1"/>
    <col min="6" max="6" width="20" customWidth="1"/>
    <col min="7" max="7" width="18" customWidth="1"/>
  </cols>
  <sheetData>
    <row r="1" spans="1:1">
      <c r="A1" s="4" t="s">
        <v>64</v>
      </c>
    </row>
    <row r="3" spans="1:1">
      <c r="A3" s="12" t="s">
        <v>65</v>
      </c>
    </row>
    <row r="4" spans="1:3">
      <c r="A4" s="6" t="s">
        <v>66</v>
      </c>
      <c r="B4" s="6" t="s">
        <v>67</v>
      </c>
      <c r="C4" s="6" t="s">
        <v>68</v>
      </c>
    </row>
    <row r="5" spans="1:3">
      <c r="A5" s="18">
        <v>2022</v>
      </c>
      <c r="B5" s="19">
        <v>30</v>
      </c>
      <c r="C5" s="16" t="s">
        <v>69</v>
      </c>
    </row>
    <row r="6" spans="1:3">
      <c r="A6" s="18">
        <v>2023</v>
      </c>
      <c r="B6" s="19">
        <v>45</v>
      </c>
      <c r="C6" s="16" t="s">
        <v>69</v>
      </c>
    </row>
    <row r="7" spans="1:3">
      <c r="A7" s="18">
        <v>2024</v>
      </c>
      <c r="B7" s="19">
        <v>75</v>
      </c>
      <c r="C7" s="16" t="s">
        <v>69</v>
      </c>
    </row>
    <row r="8" spans="1:3">
      <c r="A8" s="18">
        <v>2025</v>
      </c>
      <c r="B8" s="19">
        <v>135</v>
      </c>
      <c r="C8" s="16" t="s">
        <v>70</v>
      </c>
    </row>
    <row r="9" spans="1:3">
      <c r="A9" s="18">
        <v>2026</v>
      </c>
      <c r="B9" s="19">
        <v>175</v>
      </c>
      <c r="C9" s="16" t="s">
        <v>71</v>
      </c>
    </row>
    <row r="10" spans="1:3">
      <c r="A10" s="18">
        <v>2027</v>
      </c>
      <c r="B10" s="19">
        <v>225</v>
      </c>
      <c r="C10" s="16" t="s">
        <v>71</v>
      </c>
    </row>
    <row r="11" spans="1:3">
      <c r="A11" s="18">
        <v>2028</v>
      </c>
      <c r="B11" s="19">
        <v>280</v>
      </c>
      <c r="C11" s="16" t="s">
        <v>71</v>
      </c>
    </row>
    <row r="12" spans="1:3">
      <c r="A12" s="18">
        <v>2029</v>
      </c>
      <c r="B12" s="19">
        <v>330</v>
      </c>
      <c r="C12" s="16" t="s">
        <v>71</v>
      </c>
    </row>
    <row r="13" spans="1:3">
      <c r="A13" s="18">
        <v>2030</v>
      </c>
      <c r="B13" s="19">
        <v>380</v>
      </c>
      <c r="C13" s="16" t="s">
        <v>71</v>
      </c>
    </row>
    <row r="16" spans="1:1">
      <c r="A16" s="12" t="s">
        <v>72</v>
      </c>
    </row>
    <row r="17" spans="1:3">
      <c r="A17" s="6" t="s">
        <v>66</v>
      </c>
      <c r="B17" s="6" t="s">
        <v>73</v>
      </c>
      <c r="C17" s="6" t="s">
        <v>68</v>
      </c>
    </row>
    <row r="18" spans="1:3">
      <c r="A18" s="18">
        <v>2022</v>
      </c>
      <c r="B18" s="21">
        <v>0.05</v>
      </c>
      <c r="C18" s="16" t="s">
        <v>40</v>
      </c>
    </row>
    <row r="19" spans="1:3">
      <c r="A19" s="18">
        <v>2023</v>
      </c>
      <c r="B19" s="21">
        <v>0.06</v>
      </c>
      <c r="C19" s="16" t="s">
        <v>40</v>
      </c>
    </row>
    <row r="20" spans="1:3">
      <c r="A20" s="18">
        <v>2024</v>
      </c>
      <c r="B20" s="21">
        <v>0.11</v>
      </c>
      <c r="C20" s="16" t="s">
        <v>40</v>
      </c>
    </row>
    <row r="21" spans="1:3">
      <c r="A21" s="18">
        <v>2025</v>
      </c>
      <c r="B21" s="21">
        <v>0.25</v>
      </c>
      <c r="C21" s="16" t="s">
        <v>40</v>
      </c>
    </row>
    <row r="22" spans="1:3">
      <c r="A22" s="18">
        <v>2026</v>
      </c>
      <c r="B22" s="21">
        <v>0.32</v>
      </c>
      <c r="C22" s="16" t="s">
        <v>71</v>
      </c>
    </row>
    <row r="23" spans="1:3">
      <c r="A23" s="18">
        <v>2027</v>
      </c>
      <c r="B23" s="21">
        <v>0.38</v>
      </c>
      <c r="C23" s="16" t="s">
        <v>71</v>
      </c>
    </row>
    <row r="24" spans="1:3">
      <c r="A24" s="18">
        <v>2028</v>
      </c>
      <c r="B24" s="21">
        <v>0.43</v>
      </c>
      <c r="C24" s="16" t="s">
        <v>71</v>
      </c>
    </row>
    <row r="25" spans="1:3">
      <c r="A25" s="18">
        <v>2029</v>
      </c>
      <c r="B25" s="21">
        <v>0.47</v>
      </c>
      <c r="C25" s="16" t="s">
        <v>71</v>
      </c>
    </row>
    <row r="26" spans="1:3">
      <c r="A26" s="18">
        <v>2030</v>
      </c>
      <c r="B26" s="21">
        <v>0.5</v>
      </c>
      <c r="C26" s="16" t="s">
        <v>71</v>
      </c>
    </row>
    <row r="29" spans="1:1">
      <c r="A29" s="12" t="s">
        <v>74</v>
      </c>
    </row>
    <row r="30" spans="1:7">
      <c r="A30" s="6" t="s">
        <v>66</v>
      </c>
      <c r="B30" s="6" t="s">
        <v>41</v>
      </c>
      <c r="C30" s="6" t="s">
        <v>75</v>
      </c>
      <c r="D30" s="6" t="s">
        <v>76</v>
      </c>
      <c r="E30" s="6" t="s">
        <v>77</v>
      </c>
      <c r="F30" s="6" t="s">
        <v>78</v>
      </c>
      <c r="G30" s="6" t="s">
        <v>38</v>
      </c>
    </row>
    <row r="31" spans="1:7">
      <c r="A31" s="18">
        <v>2025</v>
      </c>
      <c r="B31" s="19">
        <v>783</v>
      </c>
      <c r="C31" s="21">
        <v>0.25</v>
      </c>
      <c r="D31" s="22">
        <v>224</v>
      </c>
      <c r="E31" s="19">
        <v>416</v>
      </c>
      <c r="F31" s="23">
        <f>=D31*E31/1000</f>
        <v>93.184</v>
      </c>
      <c r="G31" s="16" t="s">
        <v>79</v>
      </c>
    </row>
    <row r="32" spans="1:7">
      <c r="A32" s="18">
        <v>2026</v>
      </c>
      <c r="B32" s="19">
        <v>800</v>
      </c>
      <c r="C32" s="21">
        <v>0.35</v>
      </c>
      <c r="D32" s="20">
        <f>=B32*C32</f>
        <v>280</v>
      </c>
      <c r="E32" s="19">
        <v>460</v>
      </c>
      <c r="F32" s="23">
        <f>=D32*E32/1000</f>
        <v>128.8</v>
      </c>
      <c r="G32" s="16" t="s">
        <v>80</v>
      </c>
    </row>
    <row r="33" spans="1:7">
      <c r="A33" s="18">
        <v>2027</v>
      </c>
      <c r="B33" s="19">
        <v>800</v>
      </c>
      <c r="C33" s="21">
        <v>0.42</v>
      </c>
      <c r="D33" s="20">
        <f>=B33*C33</f>
        <v>336</v>
      </c>
      <c r="E33" s="19">
        <v>500</v>
      </c>
      <c r="F33" s="23">
        <f>=D33*E33/1000</f>
        <v>168</v>
      </c>
      <c r="G33" s="16" t="s">
        <v>80</v>
      </c>
    </row>
    <row r="34" spans="1:7">
      <c r="A34" s="18">
        <v>2028</v>
      </c>
      <c r="B34" s="19">
        <v>820</v>
      </c>
      <c r="C34" s="21">
        <v>0.46</v>
      </c>
      <c r="D34" s="20">
        <f>=B34*C34</f>
        <v>377.2</v>
      </c>
      <c r="E34" s="19">
        <v>530</v>
      </c>
      <c r="F34" s="23">
        <f>=D34*E34/1000</f>
        <v>199.916</v>
      </c>
      <c r="G34" s="16" t="s">
        <v>80</v>
      </c>
    </row>
    <row r="35" spans="1:7">
      <c r="A35" s="18">
        <v>2029</v>
      </c>
      <c r="B35" s="19">
        <v>820</v>
      </c>
      <c r="C35" s="21">
        <v>0.48</v>
      </c>
      <c r="D35" s="20">
        <f>=B35*C35</f>
        <v>393.6</v>
      </c>
      <c r="E35" s="19">
        <v>550</v>
      </c>
      <c r="F35" s="23">
        <f>=D35*E35/1000</f>
        <v>216.48</v>
      </c>
      <c r="G35" s="16" t="s">
        <v>80</v>
      </c>
    </row>
    <row r="36" spans="1:7">
      <c r="A36" s="18">
        <v>2030</v>
      </c>
      <c r="B36" s="19">
        <v>820</v>
      </c>
      <c r="C36" s="21">
        <v>0.5</v>
      </c>
      <c r="D36" s="20">
        <f>=B36*C36</f>
        <v>410</v>
      </c>
      <c r="E36" s="19">
        <v>570</v>
      </c>
      <c r="F36" s="23">
        <f>=D36*E36/1000</f>
        <v>233.7</v>
      </c>
      <c r="G36" s="16" t="s">
        <v>80</v>
      </c>
    </row>
    <row r="37" spans="1:6">
      <c r="A37" s="11" t="s">
        <v>81</v>
      </c>
      <c r="F37" s="24">
        <f>=(F36/F31)^(1/5)-1</f>
        <v>0.201886543249001</v>
      </c>
    </row>
  </sheetData>
  <pageMargins left="0.75" right="0.75" top="1" bottom="1" header="0.5" footer="0.5"/>
  <drawing r:id="rId0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C7"/>
  <sheetViews>
    <sheetView showGridLines="1" workbookViewId="0"/>
  </sheetViews>
  <sheetFormatPr baseColWidth="8" defaultRowHeight="15"/>
  <cols>
    <col min="1" max="1" width="12" customWidth="1"/>
    <col min="2" max="2" width="18" customWidth="1"/>
    <col min="3" max="3" width="14" customWidth="1"/>
  </cols>
  <sheetData>
    <row r="1" spans="1:1">
      <c r="A1" s="4" t="s">
        <v>82</v>
      </c>
    </row>
    <row r="3" spans="1:3">
      <c r="A3" s="6" t="s">
        <v>66</v>
      </c>
      <c r="B3" s="6" t="s">
        <v>83</v>
      </c>
      <c r="C3" s="6" t="s">
        <v>38</v>
      </c>
    </row>
    <row r="4" spans="1:3">
      <c r="A4" s="18">
        <v>2021</v>
      </c>
      <c r="B4" s="19">
        <v>480</v>
      </c>
      <c r="C4" s="16" t="s">
        <v>46</v>
      </c>
    </row>
    <row r="5" spans="1:3">
      <c r="A5" s="18">
        <v>2023</v>
      </c>
      <c r="B5" s="19">
        <v>505</v>
      </c>
      <c r="C5" s="16" t="s">
        <v>46</v>
      </c>
    </row>
    <row r="6" spans="1:3">
      <c r="A6" s="18">
        <v>2025</v>
      </c>
      <c r="B6" s="19">
        <v>966</v>
      </c>
      <c r="C6" s="16" t="s">
        <v>46</v>
      </c>
    </row>
    <row r="7" spans="1:3">
      <c r="A7" s="18">
        <v>2026</v>
      </c>
      <c r="B7" s="19">
        <v>1400</v>
      </c>
      <c r="C7" s="16" t="s">
        <v>46</v>
      </c>
    </row>
  </sheetData>
  <pageMargins left="0.75" right="0.75" top="1" bottom="1" header="0.5" footer="0.5"/>
  <drawing r:id="rId0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8"/>
  <sheetViews>
    <sheetView showGridLines="1" workbookViewId="0"/>
  </sheetViews>
  <sheetFormatPr baseColWidth="8" defaultRowHeight="15"/>
  <cols>
    <col min="1" max="1" width="20" customWidth="1"/>
    <col min="2" max="2" width="14" customWidth="1"/>
  </cols>
  <sheetData>
    <row r="1" spans="1:1">
      <c r="A1" s="4" t="s">
        <v>84</v>
      </c>
    </row>
    <row r="3" spans="1:2">
      <c r="A3" s="6" t="s">
        <v>85</v>
      </c>
      <c r="B3" s="6" t="s">
        <v>86</v>
      </c>
    </row>
    <row r="4" spans="1:2">
      <c r="A4" s="18" t="s">
        <v>87</v>
      </c>
      <c r="B4" s="21">
        <v>0.01</v>
      </c>
    </row>
    <row r="5" spans="1:2">
      <c r="A5" s="18" t="s">
        <v>88</v>
      </c>
      <c r="B5" s="21">
        <v>0.09</v>
      </c>
    </row>
    <row r="6" spans="1:2">
      <c r="A6" s="18" t="s">
        <v>89</v>
      </c>
      <c r="B6" s="21">
        <v>0.23</v>
      </c>
    </row>
    <row r="7" spans="1:2">
      <c r="A7" s="18" t="s">
        <v>90</v>
      </c>
      <c r="B7" s="21">
        <v>0.48</v>
      </c>
    </row>
    <row r="8" spans="1:2">
      <c r="A8" s="18" t="s">
        <v>91</v>
      </c>
      <c r="B8" s="21">
        <v>0.19</v>
      </c>
    </row>
  </sheetData>
  <pageMargins left="0.75" right="0.75" top="1" bottom="1" header="0.5" footer="0.5"/>
  <drawing r:id="rId0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8"/>
  <sheetViews>
    <sheetView showGridLines="1" workbookViewId="0"/>
  </sheetViews>
  <sheetFormatPr baseColWidth="8" defaultRowHeight="15"/>
  <cols>
    <col min="1" max="1" width="20" customWidth="1"/>
    <col min="2" max="2" width="14" customWidth="1"/>
  </cols>
  <sheetData>
    <row r="1" spans="1:1">
      <c r="A1" s="4" t="s">
        <v>92</v>
      </c>
    </row>
    <row r="3" spans="1:2">
      <c r="A3" s="6" t="s">
        <v>85</v>
      </c>
      <c r="B3" s="6" t="s">
        <v>86</v>
      </c>
    </row>
    <row r="4" spans="1:2">
      <c r="A4" s="18" t="s">
        <v>87</v>
      </c>
      <c r="B4" s="21">
        <v>0.01</v>
      </c>
    </row>
    <row r="5" spans="1:2">
      <c r="A5" s="18" t="s">
        <v>88</v>
      </c>
      <c r="B5" s="21">
        <v>0.13</v>
      </c>
    </row>
    <row r="6" spans="1:2">
      <c r="A6" s="18" t="s">
        <v>89</v>
      </c>
      <c r="B6" s="21">
        <v>0.35</v>
      </c>
    </row>
    <row r="7" spans="1:2">
      <c r="A7" s="18" t="s">
        <v>90</v>
      </c>
      <c r="B7" s="21">
        <v>0.2</v>
      </c>
    </row>
    <row r="8" spans="1:2">
      <c r="A8" s="18" t="s">
        <v>91</v>
      </c>
      <c r="B8" s="21">
        <v>0.31</v>
      </c>
    </row>
  </sheetData>
  <pageMargins left="0.75" right="0.75" top="1" bottom="1" header="0.5" footer="0.5"/>
  <drawing r:id="rId0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8"/>
  <sheetViews>
    <sheetView showGridLines="1" workbookViewId="0"/>
  </sheetViews>
  <sheetFormatPr baseColWidth="8" defaultRowHeight="15"/>
  <cols>
    <col min="1" max="1" width="20" customWidth="1"/>
    <col min="2" max="2" width="14" customWidth="1"/>
  </cols>
  <sheetData>
    <row r="1" spans="1:1">
      <c r="A1" s="4" t="s">
        <v>93</v>
      </c>
    </row>
    <row r="3" spans="1:2">
      <c r="A3" s="6" t="s">
        <v>85</v>
      </c>
      <c r="B3" s="6" t="s">
        <v>86</v>
      </c>
    </row>
    <row r="4" spans="1:2">
      <c r="A4" s="18" t="s">
        <v>94</v>
      </c>
      <c r="B4" s="21">
        <v>0.44</v>
      </c>
    </row>
    <row r="5" spans="1:2">
      <c r="A5" s="18" t="s">
        <v>95</v>
      </c>
      <c r="B5" s="21">
        <v>0.5</v>
      </c>
    </row>
    <row r="6" spans="1:2">
      <c r="A6" s="18" t="s">
        <v>96</v>
      </c>
      <c r="B6" s="21">
        <v>0.04</v>
      </c>
    </row>
    <row r="7" spans="1:2">
      <c r="A7" s="18" t="s">
        <v>97</v>
      </c>
      <c r="B7" s="21">
        <v>0</v>
      </c>
    </row>
    <row r="8" spans="1:2">
      <c r="A8" s="18" t="s">
        <v>98</v>
      </c>
      <c r="B8" s="21">
        <v>0.02</v>
      </c>
    </row>
  </sheetData>
  <pageMargins left="0.75" right="0.75" top="1" bottom="1" header="0.5" footer="0.5"/>
  <drawing r:id="rId0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8"/>
  <sheetViews>
    <sheetView showGridLines="1" workbookViewId="0"/>
  </sheetViews>
  <sheetFormatPr baseColWidth="8" defaultRowHeight="15"/>
  <cols>
    <col min="1" max="1" width="20" customWidth="1"/>
    <col min="2" max="2" width="14" customWidth="1"/>
  </cols>
  <sheetData>
    <row r="1" spans="1:1">
      <c r="A1" s="4" t="s">
        <v>99</v>
      </c>
    </row>
    <row r="3" spans="1:2">
      <c r="A3" s="6" t="s">
        <v>85</v>
      </c>
      <c r="B3" s="6" t="s">
        <v>86</v>
      </c>
    </row>
    <row r="4" spans="1:2">
      <c r="A4" s="18" t="s">
        <v>94</v>
      </c>
      <c r="B4" s="21">
        <v>0.37</v>
      </c>
    </row>
    <row r="5" spans="1:2">
      <c r="A5" s="18" t="s">
        <v>95</v>
      </c>
      <c r="B5" s="21">
        <v>0.5</v>
      </c>
    </row>
    <row r="6" spans="1:2">
      <c r="A6" s="18" t="s">
        <v>96</v>
      </c>
      <c r="B6" s="21">
        <v>0.07</v>
      </c>
    </row>
    <row r="7" spans="1:2">
      <c r="A7" s="18" t="s">
        <v>97</v>
      </c>
      <c r="B7" s="21">
        <v>0.02</v>
      </c>
    </row>
    <row r="8" spans="1:2">
      <c r="A8" s="18" t="s">
        <v>98</v>
      </c>
      <c r="B8" s="21">
        <v>0.04</v>
      </c>
    </row>
  </sheetData>
  <pageMargins left="0.75" right="0.75" top="1" bottom="1" header="0.5" footer="0.5"/>
  <drawing r:id="rId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E8"/>
  <sheetViews>
    <sheetView showGridLines="1" workbookViewId="0"/>
  </sheetViews>
  <sheetFormatPr baseColWidth="8" defaultRowHeight="15"/>
  <cols>
    <col min="1" max="1" width="12" customWidth="1"/>
    <col min="2" max="2" width="20" customWidth="1"/>
    <col min="3" max="3" width="24" customWidth="1"/>
    <col min="4" max="4" width="24" customWidth="1"/>
    <col min="5" max="5" width="36" customWidth="1"/>
  </cols>
  <sheetData>
    <row r="1" spans="1:1">
      <c r="A1" s="4" t="s">
        <v>100</v>
      </c>
    </row>
    <row r="3" spans="1:5">
      <c r="A3" s="6" t="s">
        <v>101</v>
      </c>
      <c r="B3" s="6" t="s">
        <v>102</v>
      </c>
      <c r="C3" s="6" t="s">
        <v>36</v>
      </c>
      <c r="D3" s="6" t="s">
        <v>103</v>
      </c>
      <c r="E3" s="6" t="s">
        <v>104</v>
      </c>
    </row>
    <row r="4" spans="1:5">
      <c r="A4" s="18" t="s">
        <v>105</v>
      </c>
      <c r="B4" s="18" t="s">
        <v>105</v>
      </c>
      <c r="C4" s="14" t="s">
        <v>106</v>
      </c>
      <c r="D4" s="14" t="s">
        <v>107</v>
      </c>
      <c r="E4" s="18" t="s">
        <v>108</v>
      </c>
    </row>
    <row r="5" spans="1:5">
      <c r="A5" s="18" t="s">
        <v>109</v>
      </c>
      <c r="B5" s="18" t="s">
        <v>110</v>
      </c>
      <c r="C5" s="14" t="s">
        <v>111</v>
      </c>
      <c r="D5" s="14" t="s">
        <v>112</v>
      </c>
      <c r="E5" s="18" t="s">
        <v>113</v>
      </c>
    </row>
    <row r="6" spans="1:5">
      <c r="A6" s="18" t="s"/>
      <c r="B6" s="18" t="s">
        <v>114</v>
      </c>
      <c r="C6" s="25">
        <v>45000</v>
      </c>
      <c r="D6" s="25">
        <v>45000</v>
      </c>
      <c r="E6" s="18" t="s">
        <v>115</v>
      </c>
    </row>
    <row r="7" spans="1:5">
      <c r="A7" s="18" t="s"/>
      <c r="B7" s="18" t="s">
        <v>116</v>
      </c>
      <c r="C7" s="25">
        <v>95000</v>
      </c>
      <c r="D7" s="25">
        <v>95000</v>
      </c>
      <c r="E7" s="18" t="s">
        <v>115</v>
      </c>
    </row>
    <row r="8" spans="1:5">
      <c r="A8" s="18" t="s"/>
      <c r="B8" s="18" t="s">
        <v>117</v>
      </c>
      <c r="C8" s="25">
        <v>140000</v>
      </c>
      <c r="D8" s="25">
        <v>140000</v>
      </c>
      <c r="E8" s="18" t="s">
        <v>115</v>
      </c>
    </row>
  </sheetData>
  <pageMargins left="0.75" right="0.75" top="1" bottom="1" header="0.5" footer="0.5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C7"/>
  <sheetViews>
    <sheetView showGridLines="1" workbookViewId="0"/>
  </sheetViews>
  <sheetFormatPr baseColWidth="8" defaultRowHeight="15"/>
  <cols>
    <col min="1" max="1" width="20" customWidth="1"/>
    <col min="2" max="2" width="18" customWidth="1"/>
    <col min="3" max="3" width="24" customWidth="1"/>
  </cols>
  <sheetData>
    <row r="1" spans="1:1">
      <c r="A1" s="4" t="s">
        <v>118</v>
      </c>
    </row>
    <row r="3" spans="1:3">
      <c r="A3" s="6" t="s">
        <v>119</v>
      </c>
      <c r="B3" s="6" t="s">
        <v>120</v>
      </c>
      <c r="C3" s="6" t="s">
        <v>121</v>
      </c>
    </row>
    <row r="4" spans="1:3">
      <c r="A4" s="18" t="s">
        <v>122</v>
      </c>
      <c r="B4" s="19">
        <v>128</v>
      </c>
      <c r="C4" s="16" t="s">
        <v>123</v>
      </c>
    </row>
    <row r="5" spans="1:3">
      <c r="A5" s="18" t="s">
        <v>124</v>
      </c>
      <c r="B5" s="19">
        <v>147</v>
      </c>
      <c r="C5" s="16" t="s">
        <v>125</v>
      </c>
    </row>
    <row r="6" spans="1:3">
      <c r="A6" s="18" t="s">
        <v>126</v>
      </c>
      <c r="B6" s="19">
        <v>217</v>
      </c>
      <c r="C6" s="16" t="s">
        <v>127</v>
      </c>
    </row>
    <row r="7" spans="1:3">
      <c r="A7" s="18" t="s">
        <v>128</v>
      </c>
      <c r="B7" s="19">
        <v>287</v>
      </c>
      <c r="C7" s="16" t="s">
        <v>123</v>
      </c>
    </row>
  </sheetData>
  <pageMargins left="0.75" right="0.75" top="1" bottom="1" header="0.5" footer="0.5"/>
  <drawing r:id="rId0"/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C8"/>
  <sheetViews>
    <sheetView showGridLines="1" workbookViewId="0"/>
  </sheetViews>
  <sheetFormatPr baseColWidth="8" defaultRowHeight="15"/>
  <cols>
    <col min="1" max="1" width="14" customWidth="1"/>
    <col min="2" max="2" width="18" customWidth="1"/>
    <col min="3" max="3" width="18" customWidth="1"/>
  </cols>
  <sheetData>
    <row r="1" spans="1:1">
      <c r="A1" s="4" t="s">
        <v>129</v>
      </c>
    </row>
    <row r="3" spans="1:3">
      <c r="A3" s="6" t="s">
        <v>130</v>
      </c>
      <c r="B3" s="6" t="s">
        <v>131</v>
      </c>
      <c r="C3" s="6" t="s">
        <v>132</v>
      </c>
    </row>
    <row r="4" spans="1:3">
      <c r="A4" s="18" t="s">
        <v>133</v>
      </c>
      <c r="B4" s="21">
        <v>0.29</v>
      </c>
      <c r="C4" s="21">
        <v>0.33</v>
      </c>
    </row>
    <row r="5" spans="1:3">
      <c r="A5" s="18" t="s">
        <v>134</v>
      </c>
      <c r="B5" s="21">
        <v>0.25</v>
      </c>
      <c r="C5" s="21">
        <v>0.32</v>
      </c>
    </row>
    <row r="6" spans="1:3">
      <c r="A6" s="18" t="s">
        <v>135</v>
      </c>
      <c r="B6" s="21">
        <v>0.26</v>
      </c>
      <c r="C6" s="21">
        <v>0.35</v>
      </c>
    </row>
    <row r="7" spans="1:3">
      <c r="A7" s="18" t="s">
        <v>136</v>
      </c>
      <c r="B7" s="21">
        <v>0.3</v>
      </c>
      <c r="C7" s="21">
        <v>0.37</v>
      </c>
    </row>
    <row r="8" spans="1:3">
      <c r="A8" s="18" t="s">
        <v>137</v>
      </c>
      <c r="B8" s="21">
        <v>0.4</v>
      </c>
      <c r="C8" s="21">
        <v>0.2</v>
      </c>
    </row>
  </sheetData>
  <pageMargins left="0.75" right="0.75" top="1" bottom="1" header="0.5" footer="0.5"/>
  <drawing r:id="rId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E32"/>
  <sheetViews>
    <sheetView showGridLines="1" workbookViewId="0"/>
  </sheetViews>
  <sheetFormatPr baseColWidth="8" defaultRowHeight="15"/>
  <cols>
    <col min="1" max="1" width="25.6328" customWidth="1"/>
    <col min="2" max="2" width="13.1211" customWidth="1"/>
    <col min="3" max="3" width="13.1211" customWidth="1"/>
    <col min="4" max="4" width="13.1211" customWidth="1"/>
    <col min="5" max="5" width="35.8125" customWidth="1"/>
  </cols>
  <sheetData>
    <row r="1" spans="1:1">
      <c r="A1" s="4" t="s">
        <v>138</v>
      </c>
    </row>
    <row r="3" spans="1:1">
      <c r="A3" s="12" t="s">
        <v>139</v>
      </c>
    </row>
    <row r="4" spans="1:5">
      <c r="A4" s="6" t="s">
        <v>140</v>
      </c>
      <c r="B4" s="6" t="s">
        <v>122</v>
      </c>
      <c r="C4" s="6" t="s">
        <v>141</v>
      </c>
      <c r="D4" s="6" t="s">
        <v>128</v>
      </c>
      <c r="E4" s="6" t="s">
        <v>121</v>
      </c>
    </row>
    <row r="5" spans="1:5">
      <c r="A5" s="13" t="s">
        <v>142</v>
      </c>
      <c r="B5" s="25">
        <v>700000</v>
      </c>
      <c r="C5" s="25">
        <v>450000</v>
      </c>
      <c r="D5" s="25">
        <v>400000</v>
      </c>
      <c r="E5" s="16" t="s"/>
    </row>
    <row r="6" spans="1:5">
      <c r="A6" s="13" t="s">
        <v>143</v>
      </c>
      <c r="B6" s="25">
        <v>5</v>
      </c>
      <c r="C6" s="25">
        <v>10</v>
      </c>
      <c r="D6" s="25">
        <v>10</v>
      </c>
      <c r="E6" s="16" t="s"/>
    </row>
    <row r="7" spans="1:5">
      <c r="A7" s="13" t="s">
        <v>144</v>
      </c>
      <c r="B7" s="25">
        <v>140000</v>
      </c>
      <c r="C7" s="25">
        <v>110000</v>
      </c>
      <c r="D7" s="25">
        <v>110000</v>
      </c>
      <c r="E7" s="16" t="s"/>
    </row>
    <row r="8" spans="1:5">
      <c r="A8" s="13" t="s">
        <v>145</v>
      </c>
      <c r="B8" s="25">
        <v>150000</v>
      </c>
      <c r="C8" s="25">
        <v>150000</v>
      </c>
      <c r="D8" s="25">
        <v>150000</v>
      </c>
      <c r="E8" s="16" t="s"/>
    </row>
    <row r="9" spans="1:6">
      <c r="A9" s="13" t="s">
        <v>146</v>
      </c>
      <c r="B9" s="26">
        <v>1.5</v>
      </c>
      <c r="C9" s="41">
        <v>0.35</v>
      </c>
      <c r="D9" s="40">
        <v>0.377631578947369</v>
      </c>
      <c r="E9" s="16" t="s">
        <v>147</v>
      </c>
      <c r="F9">
        <f>=F11/D10</f>
        <v>0.3779</v>
      </c>
    </row>
    <row r="10" spans="1:5">
      <c r="A10" s="13" t="s">
        <v>148</v>
      </c>
      <c r="B10" s="26">
        <v>0.85</v>
      </c>
      <c r="C10" s="26">
        <v>6.2</v>
      </c>
      <c r="D10" s="26">
        <v>7.6</v>
      </c>
      <c r="E10" s="16" t="s"/>
    </row>
    <row r="11" spans="1:6">
      <c r="A11" s="13" t="s">
        <v>149</v>
      </c>
      <c r="B11" s="36">
        <f>=B9*B10</f>
        <v>1.275</v>
      </c>
      <c r="C11" s="37">
        <f>=C9*C10</f>
        <v>2.17</v>
      </c>
      <c r="D11" s="37">
        <f>=D9*D10</f>
        <v>2.87</v>
      </c>
      <c r="E11" s="29" t="s">
        <v>4</v>
      </c>
      <c r="F11">
        <f>=E18/D8</f>
        <v>2.87204</v>
      </c>
    </row>
    <row r="12" spans="1:5">
      <c r="A12" s="13" t="s">
        <v>150</v>
      </c>
      <c r="B12" s="25">
        <v>15000</v>
      </c>
      <c r="C12" s="25">
        <v>25000</v>
      </c>
      <c r="D12" s="25">
        <v>30000</v>
      </c>
      <c r="E12" s="16" t="s"/>
    </row>
    <row r="13" spans="1:5">
      <c r="A13" s="13" t="s">
        <v>151</v>
      </c>
      <c r="B13" s="25">
        <v>70000</v>
      </c>
      <c r="C13" s="25">
        <v>15000</v>
      </c>
      <c r="D13" s="25">
        <v>0</v>
      </c>
      <c r="E13" s="16" t="s"/>
    </row>
    <row r="15" spans="1:1">
      <c r="A15" s="12" t="s">
        <v>152</v>
      </c>
    </row>
    <row r="16" spans="1:5">
      <c r="A16" s="6" t="s">
        <v>102</v>
      </c>
      <c r="B16" s="6" t="s">
        <v>122</v>
      </c>
      <c r="C16" s="6" t="s">
        <v>141</v>
      </c>
      <c r="D16" s="6" t="s">
        <v>128</v>
      </c>
      <c r="E16" s="6" t="s">
        <v>121</v>
      </c>
    </row>
    <row r="17" spans="1:4">
      <c r="A17" s="18" t="s">
        <v>153</v>
      </c>
      <c r="B17" s="27">
        <f>=B5*(1+B6/100)-B7</f>
        <v>595000</v>
      </c>
      <c r="C17" s="27">
        <f>=C5*(1+C6/100)-C7</f>
        <v>385000</v>
      </c>
      <c r="D17" s="27">
        <f>=D5*(1+D6/100)-D7</f>
        <v>330000</v>
      </c>
    </row>
    <row r="18" spans="1:5">
      <c r="A18" s="18" t="s">
        <v>154</v>
      </c>
      <c r="B18" s="27">
        <f>=B8*B11</f>
        <v>191250</v>
      </c>
      <c r="C18" s="27">
        <f>=C8*C11</f>
        <v>325500</v>
      </c>
      <c r="D18" s="27">
        <f>=D8*D11</f>
        <v>430500</v>
      </c>
      <c r="E18">
        <f>=E19-D12-D13</f>
        <v>430806</v>
      </c>
    </row>
    <row r="19" spans="1:5">
      <c r="A19" s="18" t="s">
        <v>155</v>
      </c>
      <c r="B19" s="27">
        <f>=B18+B12+B13</f>
        <v>276250</v>
      </c>
      <c r="C19" s="27">
        <f>=C18+C12+C13</f>
        <v>365500</v>
      </c>
      <c r="D19" s="27">
        <f>=D18+D12+D13</f>
        <v>460500</v>
      </c>
      <c r="E19">
        <f>=(E20-D17)/3</f>
        <v>460806</v>
      </c>
    </row>
    <row r="20" spans="1:5">
      <c r="A20" s="18" t="s">
        <v>156</v>
      </c>
      <c r="B20" s="27">
        <f>=B17+B19*3</f>
        <v>1423750</v>
      </c>
      <c r="C20" s="27">
        <f>=C17+C19*3</f>
        <v>1481500</v>
      </c>
      <c r="D20" s="27">
        <f>=D17+D19*3</f>
        <v>1711500</v>
      </c>
      <c r="E20">
        <v>1712418</v>
      </c>
    </row>
    <row r="21" spans="1:5">
      <c r="A21" s="18" t="s">
        <v>157</v>
      </c>
      <c r="B21" s="27">
        <f>=B17+B19*5</f>
        <v>1976250</v>
      </c>
      <c r="C21" s="27">
        <f>=C17+C19*5</f>
        <v>2212500</v>
      </c>
      <c r="D21" s="27">
        <f>=D17+D19*5</f>
        <v>2632500</v>
      </c>
      <c r="E21">
        <f>=E19*5</f>
        <v>2304030</v>
      </c>
    </row>
    <row r="22" spans="1:4">
      <c r="A22" s="18" t="s">
        <v>158</v>
      </c>
      <c r="B22" s="27">
        <f>=B17+B19*8</f>
        <v>2805000</v>
      </c>
      <c r="C22" s="27">
        <f>=C17+C19*8</f>
        <v>3309000</v>
      </c>
      <c r="D22" s="27">
        <f>=D17+D19*8</f>
        <v>4014000</v>
      </c>
    </row>
    <row r="23" spans="1:4">
      <c r="A23" s="18" t="s">
        <v>159</v>
      </c>
      <c r="B23" s="27">
        <f>=B17+B19*10</f>
        <v>3357500</v>
      </c>
      <c r="C23" s="27">
        <f>=C17+C19*10</f>
        <v>4040000</v>
      </c>
      <c r="D23" s="27">
        <f>=D17+D19*10</f>
        <v>4935000</v>
      </c>
    </row>
    <row r="24" spans="1:4">
      <c r="A24" s="18" t="s"/>
      <c r="B24" s="18" t="s"/>
      <c r="C24" s="18" t="s"/>
      <c r="D24" s="18" t="s"/>
    </row>
    <row r="25" spans="1:4">
      <c r="A25" s="18" t="s">
        <v>160</v>
      </c>
      <c r="B25" s="28">
        <f>=(B20-C20)/C20</f>
        <v>-0.0389807627404658</v>
      </c>
      <c r="C25" s="18" t="s"/>
      <c r="D25" s="18" t="s"/>
    </row>
    <row r="26" spans="1:4">
      <c r="A26" s="18" t="s">
        <v>161</v>
      </c>
      <c r="B26" s="28">
        <f>=(B21-C21)/C21</f>
        <v>-0.106779661016949</v>
      </c>
      <c r="C26" s="18" t="s"/>
      <c r="D26" s="18" t="s"/>
    </row>
    <row r="27" spans="1:4">
      <c r="A27" s="18" t="s">
        <v>162</v>
      </c>
      <c r="B27" s="28">
        <f>=(B22-C22)/C22</f>
        <v>-0.152311876699909</v>
      </c>
      <c r="C27" s="18" t="s"/>
      <c r="D27" s="18" t="s"/>
    </row>
    <row r="28" spans="1:4">
      <c r="A28" s="18" t="s">
        <v>163</v>
      </c>
      <c r="B28" s="28">
        <f>=(B23-C23)/C23</f>
        <v>-0.168935643564356</v>
      </c>
      <c r="C28" s="18" t="s"/>
      <c r="D28" s="18" t="s"/>
    </row>
    <row r="29" spans="1:4">
      <c r="A29" s="18" t="s">
        <v>164</v>
      </c>
      <c r="B29" s="28">
        <f>=(B20-D20)/D20</f>
        <v>-0.168127373648846</v>
      </c>
      <c r="C29" s="18" t="s"/>
      <c r="D29" s="18" t="s"/>
    </row>
    <row r="30" spans="1:4">
      <c r="A30" s="18" t="s">
        <v>165</v>
      </c>
      <c r="B30" s="28">
        <f>=(B21-D21)/D21</f>
        <v>-0.249287749287749</v>
      </c>
      <c r="C30" s="18" t="s"/>
      <c r="D30" s="18" t="s"/>
    </row>
    <row r="31" spans="1:4">
      <c r="A31" s="18" t="s">
        <v>166</v>
      </c>
      <c r="B31" s="28">
        <f>=(B22-D22)/D22</f>
        <v>-0.30119581464873</v>
      </c>
      <c r="C31" s="18" t="s"/>
      <c r="D31" s="18" t="s"/>
    </row>
    <row r="32" spans="1:4">
      <c r="A32" s="18" t="s">
        <v>167</v>
      </c>
      <c r="B32" s="28">
        <f>=(B23-D23)/D23</f>
        <v>-0.319655521783181</v>
      </c>
      <c r="C32" s="18" t="s"/>
      <c r="D32" s="18" t="s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E32"/>
  <sheetViews>
    <sheetView showGridLines="1" workbookViewId="0"/>
  </sheetViews>
  <sheetFormatPr baseColWidth="8" defaultRowHeight="15"/>
  <cols>
    <col min="1" max="1" width="26" customWidth="1"/>
    <col min="2" max="2" width="12.3828" customWidth="1"/>
    <col min="3" max="3" width="12.3828" customWidth="1"/>
    <col min="4" max="4" width="12.3828" customWidth="1"/>
    <col min="5" max="5" width="8.83203" customWidth="1"/>
  </cols>
  <sheetData>
    <row r="1" spans="1:1">
      <c r="A1" s="4" t="s">
        <v>168</v>
      </c>
    </row>
    <row r="3" spans="1:1">
      <c r="A3" s="12" t="s">
        <v>139</v>
      </c>
    </row>
    <row r="4" spans="1:5">
      <c r="A4" s="6" t="s">
        <v>140</v>
      </c>
      <c r="B4" s="6" t="s">
        <v>122</v>
      </c>
      <c r="C4" s="6" t="s">
        <v>141</v>
      </c>
      <c r="D4" s="6" t="s">
        <v>128</v>
      </c>
      <c r="E4" s="6" t="s">
        <v>121</v>
      </c>
    </row>
    <row r="5" spans="1:5">
      <c r="A5" s="13" t="s">
        <v>142</v>
      </c>
      <c r="B5" s="25">
        <v>700000</v>
      </c>
      <c r="C5" s="25">
        <v>450000</v>
      </c>
      <c r="D5" s="25">
        <v>400000</v>
      </c>
      <c r="E5" s="16" t="s"/>
    </row>
    <row r="6" spans="1:5">
      <c r="A6" s="13" t="s">
        <v>143</v>
      </c>
      <c r="B6" s="25">
        <v>5</v>
      </c>
      <c r="C6" s="25">
        <v>10</v>
      </c>
      <c r="D6" s="25">
        <v>10</v>
      </c>
      <c r="E6" s="16" t="s"/>
    </row>
    <row r="7" spans="1:5">
      <c r="A7" s="13" t="s">
        <v>144</v>
      </c>
      <c r="B7" s="25">
        <v>140000</v>
      </c>
      <c r="C7" s="25">
        <v>110000</v>
      </c>
      <c r="D7" s="25">
        <v>110000</v>
      </c>
      <c r="E7" s="16" t="s"/>
    </row>
    <row r="8" spans="1:5">
      <c r="A8" s="13" t="s">
        <v>145</v>
      </c>
      <c r="B8" s="25">
        <v>150000</v>
      </c>
      <c r="C8" s="25">
        <v>150000</v>
      </c>
      <c r="D8" s="25">
        <v>150000</v>
      </c>
      <c r="E8" s="16" t="s"/>
    </row>
    <row r="9" spans="1:6">
      <c r="A9" s="13" t="s">
        <v>146</v>
      </c>
      <c r="B9" s="26">
        <v>1.5</v>
      </c>
      <c r="C9" s="26">
        <f>=Table3_TCO基准情景!C9</f>
        <v>0.35</v>
      </c>
      <c r="D9" s="26">
        <f>=Table3_TCO基准情景!D9</f>
        <v>0.377631578947369</v>
      </c>
      <c r="E9" s="16" t="s">
        <v>147</v>
      </c>
      <c r="F9">
        <f>=F11/D10</f>
        <v>0.3779</v>
      </c>
    </row>
    <row r="10" spans="1:5">
      <c r="A10" s="13" t="s">
        <v>148</v>
      </c>
      <c r="B10" s="26">
        <v>0.85</v>
      </c>
      <c r="C10" s="26">
        <v>4.2</v>
      </c>
      <c r="D10" s="26">
        <v>7.6</v>
      </c>
      <c r="E10" s="16" t="s"/>
    </row>
    <row r="11" spans="1:6">
      <c r="A11" s="13" t="s">
        <v>149</v>
      </c>
      <c r="B11" s="37">
        <f>=B9*B10</f>
        <v>1.275</v>
      </c>
      <c r="C11" s="36">
        <f>=C9*C10</f>
        <v>1.47</v>
      </c>
      <c r="D11" s="36">
        <f>=D9*D10</f>
        <v>2.87</v>
      </c>
      <c r="E11" s="16" t="e">
        <f>=单位能耗×能源单价</f>
        <v>#NAME?</v>
      </c>
      <c r="F11">
        <f>=E18/D8</f>
        <v>2.87204</v>
      </c>
    </row>
    <row r="12" spans="1:5">
      <c r="A12" s="13" t="s">
        <v>150</v>
      </c>
      <c r="B12" s="25">
        <v>15000</v>
      </c>
      <c r="C12" s="25">
        <v>25000</v>
      </c>
      <c r="D12" s="25">
        <v>30000</v>
      </c>
      <c r="E12" s="16" t="s"/>
    </row>
    <row r="13" spans="1:5">
      <c r="A13" s="13" t="s">
        <v>151</v>
      </c>
      <c r="B13" s="25">
        <v>70000</v>
      </c>
      <c r="C13" s="25">
        <v>15000</v>
      </c>
      <c r="D13" s="25">
        <v>0</v>
      </c>
      <c r="E13" s="16" t="s"/>
    </row>
    <row r="15" spans="1:1">
      <c r="A15" s="12" t="s">
        <v>152</v>
      </c>
    </row>
    <row r="16" spans="1:5">
      <c r="A16" s="6" t="s">
        <v>102</v>
      </c>
      <c r="B16" s="6" t="s">
        <v>122</v>
      </c>
      <c r="C16" s="6" t="s">
        <v>141</v>
      </c>
      <c r="D16" s="6" t="s">
        <v>128</v>
      </c>
      <c r="E16" s="6" t="s">
        <v>121</v>
      </c>
    </row>
    <row r="17" spans="1:4">
      <c r="A17" s="18" t="s">
        <v>153</v>
      </c>
      <c r="B17" s="27">
        <f>=B5*(1+B6/100)-B7</f>
        <v>595000</v>
      </c>
      <c r="C17" s="27">
        <f>=C5*(1+C6/100)-C7</f>
        <v>385000</v>
      </c>
      <c r="D17" s="27">
        <f>=D5*(1+D6/100)-D7</f>
        <v>330000</v>
      </c>
    </row>
    <row r="18" spans="1:5">
      <c r="A18" s="18" t="s">
        <v>154</v>
      </c>
      <c r="B18" s="27">
        <f>=B8*B11</f>
        <v>191250</v>
      </c>
      <c r="C18" s="27">
        <f>=C8*C11</f>
        <v>220500</v>
      </c>
      <c r="D18" s="27">
        <f>=D8*D11</f>
        <v>430500</v>
      </c>
      <c r="E18">
        <f>=E19-D12-D13</f>
        <v>430806</v>
      </c>
    </row>
    <row r="19" spans="1:5">
      <c r="A19" s="18" t="s">
        <v>155</v>
      </c>
      <c r="B19" s="27">
        <f>=B18+B12+B13</f>
        <v>276250</v>
      </c>
      <c r="C19" s="27">
        <f>=C18+C12+C13</f>
        <v>260500</v>
      </c>
      <c r="D19" s="27">
        <f>=D18+D12+D13</f>
        <v>460500</v>
      </c>
      <c r="E19">
        <f>=(E20-D17)/3</f>
        <v>460806</v>
      </c>
    </row>
    <row r="20" spans="1:5">
      <c r="A20" s="18" t="s">
        <v>156</v>
      </c>
      <c r="B20" s="27">
        <f>=B17+B19*3</f>
        <v>1423750</v>
      </c>
      <c r="C20" s="27">
        <f>=C17+C19*3</f>
        <v>1166500</v>
      </c>
      <c r="D20" s="27">
        <f>=D17+D19*3</f>
        <v>1711500</v>
      </c>
      <c r="E20">
        <v>1712418</v>
      </c>
    </row>
    <row r="21" spans="1:4">
      <c r="A21" s="18" t="s">
        <v>157</v>
      </c>
      <c r="B21" s="27">
        <f>=B17+B19*5</f>
        <v>1976250</v>
      </c>
      <c r="C21" s="27">
        <f>=C17+C19*5</f>
        <v>1687500</v>
      </c>
      <c r="D21" s="27">
        <f>=D17+D19*5</f>
        <v>2632500</v>
      </c>
    </row>
    <row r="22" spans="1:4">
      <c r="A22" s="18" t="s">
        <v>158</v>
      </c>
      <c r="B22" s="27">
        <f>=B17+B19*8</f>
        <v>2805000</v>
      </c>
      <c r="C22" s="27">
        <f>=C17+C19*8</f>
        <v>2469000</v>
      </c>
      <c r="D22" s="27">
        <f>=D17+D19*8</f>
        <v>4014000</v>
      </c>
    </row>
    <row r="23" spans="1:4">
      <c r="A23" s="18" t="s">
        <v>159</v>
      </c>
      <c r="B23" s="27">
        <f>=B17+B19*10</f>
        <v>3357500</v>
      </c>
      <c r="C23" s="27">
        <f>=C17+C19*10</f>
        <v>2990000</v>
      </c>
      <c r="D23" s="27">
        <f>=D17+D19*10</f>
        <v>4935000</v>
      </c>
    </row>
    <row r="24" spans="1:4">
      <c r="A24" s="18" t="s"/>
      <c r="B24" s="18" t="s"/>
      <c r="C24" s="18" t="s"/>
      <c r="D24" s="18" t="s"/>
    </row>
    <row r="25" spans="1:4">
      <c r="A25" s="18" t="s">
        <v>160</v>
      </c>
      <c r="B25" s="28">
        <f>=(B20-C20)/C20</f>
        <v>0.220531504500643</v>
      </c>
      <c r="C25" s="18" t="s"/>
      <c r="D25" s="18" t="s"/>
    </row>
    <row r="26" spans="1:4">
      <c r="A26" s="18" t="s">
        <v>161</v>
      </c>
      <c r="B26" s="28">
        <f>=(B21-C21)/C21</f>
        <v>0.171111111111111</v>
      </c>
      <c r="C26" s="18" t="s"/>
      <c r="D26" s="18" t="s"/>
    </row>
    <row r="27" spans="1:4">
      <c r="A27" s="18" t="s">
        <v>162</v>
      </c>
      <c r="B27" s="28">
        <f>=(B22-C22)/C22</f>
        <v>0.136087484811665</v>
      </c>
      <c r="C27" s="18" t="s"/>
      <c r="D27" s="18" t="s"/>
    </row>
    <row r="28" spans="1:4">
      <c r="A28" s="18" t="s">
        <v>163</v>
      </c>
      <c r="B28" s="28">
        <f>=(B23-C23)/C23</f>
        <v>0.122909698996656</v>
      </c>
      <c r="C28" s="18" t="s"/>
      <c r="D28" s="18" t="s"/>
    </row>
    <row r="29" spans="1:4">
      <c r="A29" s="18" t="s">
        <v>164</v>
      </c>
      <c r="B29" s="28">
        <f>=(B20-D20)/D20</f>
        <v>-0.168127373648846</v>
      </c>
      <c r="C29" s="18" t="s"/>
      <c r="D29" s="18" t="s"/>
    </row>
    <row r="30" spans="1:4">
      <c r="A30" s="18" t="s">
        <v>165</v>
      </c>
      <c r="B30" s="28">
        <f>=(B21-D21)/D21</f>
        <v>-0.249287749287749</v>
      </c>
      <c r="C30" s="18" t="s"/>
      <c r="D30" s="18" t="s"/>
    </row>
    <row r="31" spans="1:4">
      <c r="A31" s="18" t="s">
        <v>166</v>
      </c>
      <c r="B31" s="28">
        <f>=(B22-D22)/D22</f>
        <v>-0.30119581464873</v>
      </c>
      <c r="C31" s="18" t="s"/>
      <c r="D31" s="18" t="s"/>
    </row>
    <row r="32" spans="1:4">
      <c r="A32" s="18" t="s">
        <v>167</v>
      </c>
      <c r="B32" s="28">
        <f>=(B23-D23)/D23</f>
        <v>-0.319655521783181</v>
      </c>
      <c r="C32" s="18" t="s"/>
      <c r="D32" s="18" t="s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E32"/>
  <sheetViews>
    <sheetView showGridLines="1" workbookViewId="0"/>
  </sheetViews>
  <sheetFormatPr baseColWidth="8" defaultRowHeight="15"/>
  <cols>
    <col min="1" max="1" width="32" customWidth="1"/>
    <col min="2" max="2" width="20" customWidth="1"/>
    <col min="3" max="3" width="20" customWidth="1"/>
    <col min="4" max="4" width="20" customWidth="1"/>
    <col min="5" max="5" width="28" customWidth="1"/>
  </cols>
  <sheetData>
    <row r="1" spans="1:1">
      <c r="A1" s="4" t="s">
        <v>169</v>
      </c>
    </row>
    <row r="3" spans="1:1">
      <c r="A3" s="12" t="s">
        <v>139</v>
      </c>
    </row>
    <row r="4" spans="1:5">
      <c r="A4" s="6" t="s">
        <v>140</v>
      </c>
      <c r="B4" s="6" t="s">
        <v>122</v>
      </c>
      <c r="C4" s="6" t="s">
        <v>141</v>
      </c>
      <c r="D4" s="6" t="s">
        <v>128</v>
      </c>
      <c r="E4" s="6" t="s">
        <v>121</v>
      </c>
    </row>
    <row r="5" spans="1:5">
      <c r="A5" s="13" t="s">
        <v>142</v>
      </c>
      <c r="B5" s="25">
        <v>700000</v>
      </c>
      <c r="C5" s="25">
        <v>450000</v>
      </c>
      <c r="D5" s="25">
        <v>400000</v>
      </c>
      <c r="E5" s="16" t="s"/>
    </row>
    <row r="6" spans="1:5">
      <c r="A6" s="13" t="s">
        <v>143</v>
      </c>
      <c r="B6" s="25">
        <v>10</v>
      </c>
      <c r="C6" s="25">
        <v>10</v>
      </c>
      <c r="D6" s="25">
        <v>10</v>
      </c>
      <c r="E6" s="16" t="s"/>
    </row>
    <row r="7" spans="1:5">
      <c r="A7" s="13" t="s">
        <v>144</v>
      </c>
      <c r="B7" s="25">
        <v>0</v>
      </c>
      <c r="C7" s="25">
        <v>0</v>
      </c>
      <c r="D7" s="25">
        <v>0</v>
      </c>
      <c r="E7" s="16" t="s"/>
    </row>
    <row r="8" spans="1:5">
      <c r="A8" s="13" t="s">
        <v>145</v>
      </c>
      <c r="B8" s="25">
        <v>150000</v>
      </c>
      <c r="C8" s="25">
        <v>150000</v>
      </c>
      <c r="D8" s="25">
        <v>150000</v>
      </c>
      <c r="E8" s="16" t="s"/>
    </row>
    <row r="9" spans="1:6">
      <c r="A9" s="13" t="s">
        <v>146</v>
      </c>
      <c r="B9" s="26">
        <v>1.5</v>
      </c>
      <c r="C9" s="40">
        <f>=Table3_TCO基准情景!C9</f>
        <v>0.35</v>
      </c>
      <c r="D9" s="40">
        <f>=Table3_TCO基准情景!D9</f>
        <v>0.377631578947369</v>
      </c>
      <c r="E9" s="16" t="s">
        <v>147</v>
      </c>
      <c r="F9">
        <f>=F11/D10</f>
        <v>0.345736257309942</v>
      </c>
    </row>
    <row r="10" spans="1:5">
      <c r="A10" s="13" t="s">
        <v>148</v>
      </c>
      <c r="B10" s="26">
        <v>0.85</v>
      </c>
      <c r="C10" s="26">
        <v>6.2</v>
      </c>
      <c r="D10" s="26">
        <v>7.6</v>
      </c>
      <c r="E10" s="16" t="s"/>
    </row>
    <row r="11" spans="1:6">
      <c r="A11" s="13" t="s">
        <v>149</v>
      </c>
      <c r="B11" s="37">
        <f>=B9*B10</f>
        <v>1.275</v>
      </c>
      <c r="C11" s="37">
        <f>=C9*C10</f>
        <v>2.17</v>
      </c>
      <c r="D11" s="37">
        <f>=D9*D10</f>
        <v>2.87</v>
      </c>
      <c r="E11" s="16" t="e">
        <f>=单位能耗×能源单价</f>
        <v>#NAME?</v>
      </c>
      <c r="F11">
        <f>=E18/D8</f>
        <v>2.62759555555556</v>
      </c>
    </row>
    <row r="12" spans="1:5">
      <c r="A12" s="13" t="s">
        <v>150</v>
      </c>
      <c r="B12" s="25">
        <v>15000</v>
      </c>
      <c r="C12" s="25">
        <v>25000</v>
      </c>
      <c r="D12" s="25">
        <v>30000</v>
      </c>
      <c r="E12" s="16" t="s"/>
    </row>
    <row r="13" spans="1:5">
      <c r="A13" s="13" t="s">
        <v>151</v>
      </c>
      <c r="B13" s="25">
        <v>70000</v>
      </c>
      <c r="C13" s="25">
        <v>15000</v>
      </c>
      <c r="D13" s="25">
        <v>0</v>
      </c>
      <c r="E13" s="16" t="s"/>
    </row>
    <row r="15" spans="1:1">
      <c r="A15" s="12" t="s">
        <v>152</v>
      </c>
    </row>
    <row r="16" spans="1:5">
      <c r="A16" s="6" t="s">
        <v>102</v>
      </c>
      <c r="B16" s="6" t="s">
        <v>122</v>
      </c>
      <c r="C16" s="6" t="s">
        <v>141</v>
      </c>
      <c r="D16" s="6" t="s">
        <v>128</v>
      </c>
      <c r="E16" s="6" t="s">
        <v>121</v>
      </c>
    </row>
    <row r="17" spans="1:4">
      <c r="A17" s="18" t="s">
        <v>153</v>
      </c>
      <c r="B17" s="27">
        <f>=B5*(1+B6/100)-B7</f>
        <v>770000</v>
      </c>
      <c r="C17" s="27">
        <f>=C5*(1+C6/100)-C7</f>
        <v>495000</v>
      </c>
      <c r="D17" s="27">
        <f>=D5*(1+D6/100)-D7</f>
        <v>440000</v>
      </c>
    </row>
    <row r="18" spans="1:5">
      <c r="A18" s="18" t="s">
        <v>154</v>
      </c>
      <c r="B18" s="27">
        <f>=B8*B11</f>
        <v>191250</v>
      </c>
      <c r="C18" s="27">
        <f>=C8*C11</f>
        <v>325500</v>
      </c>
      <c r="D18" s="27">
        <f>=D8*D11</f>
        <v>430500</v>
      </c>
      <c r="E18">
        <f>=E19-D12-D13</f>
        <v>394139.333333333</v>
      </c>
    </row>
    <row r="19" spans="1:5">
      <c r="A19" s="18" t="s">
        <v>155</v>
      </c>
      <c r="B19" s="27">
        <f>=B18+B12+B13</f>
        <v>276250</v>
      </c>
      <c r="C19" s="27">
        <f>=C18+C12+C13</f>
        <v>365500</v>
      </c>
      <c r="D19" s="27">
        <f>=D18+D12+D13</f>
        <v>460500</v>
      </c>
      <c r="E19">
        <f>=(E20-D17)/3</f>
        <v>424139.333333333</v>
      </c>
    </row>
    <row r="20" spans="1:5">
      <c r="A20" s="18" t="s">
        <v>156</v>
      </c>
      <c r="B20" s="27">
        <f>=B17+B19*3</f>
        <v>1598750</v>
      </c>
      <c r="C20" s="27">
        <f>=C17+C19*3</f>
        <v>1591500</v>
      </c>
      <c r="D20" s="27">
        <f>=D17+D19*3</f>
        <v>1821500</v>
      </c>
      <c r="E20">
        <v>1712418</v>
      </c>
    </row>
    <row r="21" spans="1:4">
      <c r="A21" s="18" t="s">
        <v>157</v>
      </c>
      <c r="B21" s="27">
        <f>=B17+B19*5</f>
        <v>2151250</v>
      </c>
      <c r="C21" s="27">
        <f>=C17+C19*5</f>
        <v>2322500</v>
      </c>
      <c r="D21" s="27">
        <f>=D17+D19*5</f>
        <v>2742500</v>
      </c>
    </row>
    <row r="22" spans="1:4">
      <c r="A22" s="18" t="s">
        <v>158</v>
      </c>
      <c r="B22" s="27">
        <f>=B17+B19*8</f>
        <v>2980000</v>
      </c>
      <c r="C22" s="27">
        <f>=C17+C19*8</f>
        <v>3419000</v>
      </c>
      <c r="D22" s="27">
        <f>=D17+D19*8</f>
        <v>4124000</v>
      </c>
    </row>
    <row r="23" spans="1:4">
      <c r="A23" s="18" t="s">
        <v>159</v>
      </c>
      <c r="B23" s="27">
        <f>=B17+B19*10</f>
        <v>3532500</v>
      </c>
      <c r="C23" s="27">
        <f>=C17+C19*10</f>
        <v>4150000</v>
      </c>
      <c r="D23" s="27">
        <f>=D17+D19*10</f>
        <v>5045000</v>
      </c>
    </row>
    <row r="24" spans="1:4">
      <c r="A24" s="18" t="s"/>
      <c r="B24" s="18" t="s"/>
      <c r="C24" s="18" t="s"/>
      <c r="D24" s="18" t="s"/>
    </row>
    <row r="25" spans="1:4">
      <c r="A25" s="18" t="s">
        <v>160</v>
      </c>
      <c r="B25" s="28">
        <f>=(B20-C20)/C20</f>
        <v>0.00455545083254791</v>
      </c>
      <c r="C25" s="18" t="s"/>
      <c r="D25" s="18" t="s"/>
    </row>
    <row r="26" spans="1:4">
      <c r="A26" s="18" t="s">
        <v>161</v>
      </c>
      <c r="B26" s="28">
        <f>=(B21-C21)/C21</f>
        <v>-0.073735199138859</v>
      </c>
      <c r="C26" s="18" t="s"/>
      <c r="D26" s="18" t="s"/>
    </row>
    <row r="27" spans="1:4">
      <c r="A27" s="18" t="s">
        <v>162</v>
      </c>
      <c r="B27" s="28">
        <f>=(B22-C22)/C22</f>
        <v>-0.128400116993273</v>
      </c>
      <c r="C27" s="18" t="s"/>
      <c r="D27" s="18" t="s"/>
    </row>
    <row r="28" spans="1:4">
      <c r="A28" s="18" t="s">
        <v>163</v>
      </c>
      <c r="B28" s="28">
        <f>=(B23-C23)/C23</f>
        <v>-0.148795180722892</v>
      </c>
      <c r="C28" s="18" t="s"/>
      <c r="D28" s="18" t="s"/>
    </row>
    <row r="29" spans="1:4">
      <c r="A29" s="18" t="s">
        <v>164</v>
      </c>
      <c r="B29" s="28">
        <f>=(B20-D20)/D20</f>
        <v>-0.122289321987373</v>
      </c>
      <c r="C29" s="18" t="s"/>
      <c r="D29" s="18" t="s"/>
    </row>
    <row r="30" spans="1:4">
      <c r="A30" s="18" t="s">
        <v>165</v>
      </c>
      <c r="B30" s="28">
        <f>=(B21-D21)/D21</f>
        <v>-0.215587967183227</v>
      </c>
      <c r="C30" s="18" t="s"/>
      <c r="D30" s="18" t="s"/>
    </row>
    <row r="31" spans="1:4">
      <c r="A31" s="18" t="s">
        <v>166</v>
      </c>
      <c r="B31" s="28">
        <f>=(B22-D22)/D22</f>
        <v>-0.277400581959263</v>
      </c>
      <c r="C31" s="18" t="s"/>
      <c r="D31" s="18" t="s"/>
    </row>
    <row r="32" spans="1:4">
      <c r="A32" s="18" t="s">
        <v>167</v>
      </c>
      <c r="B32" s="28">
        <f>=(B23-D23)/D23</f>
        <v>-0.2998017839445</v>
      </c>
      <c r="C32" s="18" t="s"/>
      <c r="D32" s="18" t="s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C22"/>
  <sheetViews>
    <sheetView showGridLines="1" workbookViewId="0"/>
  </sheetViews>
  <sheetFormatPr baseColWidth="8" defaultRowHeight="15"/>
  <cols>
    <col min="1" max="1" width="44" customWidth="1"/>
    <col min="2" max="2" width="18" customWidth="1"/>
    <col min="3" max="3" width="28" customWidth="1"/>
  </cols>
  <sheetData>
    <row r="1" spans="1:1">
      <c r="A1" s="4" t="s">
        <v>170</v>
      </c>
    </row>
    <row r="3" spans="1:3">
      <c r="A3" s="6" t="s">
        <v>34</v>
      </c>
      <c r="B3" s="6" t="s">
        <v>171</v>
      </c>
      <c r="C3" s="6" t="s">
        <v>172</v>
      </c>
    </row>
    <row r="4" spans="1:3">
      <c r="A4" s="18" t="s">
        <v>173</v>
      </c>
      <c r="B4" s="14" t="s">
        <v>174</v>
      </c>
      <c r="C4" s="16" t="s">
        <v>123</v>
      </c>
    </row>
    <row r="5" spans="1:3">
      <c r="A5" s="18" t="s">
        <v>175</v>
      </c>
      <c r="B5" s="14" t="s">
        <v>176</v>
      </c>
      <c r="C5" s="16" t="s">
        <v>123</v>
      </c>
    </row>
    <row r="6" spans="1:3">
      <c r="A6" s="18" t="s">
        <v>177</v>
      </c>
      <c r="B6" s="14" t="s">
        <v>178</v>
      </c>
      <c r="C6" s="16" t="s">
        <v>179</v>
      </c>
    </row>
    <row r="7" spans="1:3">
      <c r="A7" s="18" t="s">
        <v>180</v>
      </c>
      <c r="B7" s="14" t="s">
        <v>181</v>
      </c>
      <c r="C7" s="16" t="s">
        <v>182</v>
      </c>
    </row>
    <row r="8" spans="1:3">
      <c r="A8" s="18" t="s">
        <v>183</v>
      </c>
      <c r="B8" s="14" t="s">
        <v>184</v>
      </c>
      <c r="C8" s="16" t="s">
        <v>182</v>
      </c>
    </row>
    <row r="9" spans="1:3">
      <c r="A9" s="18" t="s">
        <v>185</v>
      </c>
      <c r="B9" s="14" t="s">
        <v>186</v>
      </c>
      <c r="C9" s="16" t="s">
        <v>182</v>
      </c>
    </row>
    <row r="10" spans="1:3">
      <c r="A10" s="18" t="s">
        <v>187</v>
      </c>
      <c r="B10" s="14">
        <v>6039</v>
      </c>
      <c r="C10" s="16" t="s">
        <v>188</v>
      </c>
    </row>
    <row r="11" spans="1:3">
      <c r="A11" s="18" t="s">
        <v>189</v>
      </c>
      <c r="B11" s="14" t="s">
        <v>190</v>
      </c>
      <c r="C11" s="16" t="s">
        <v>188</v>
      </c>
    </row>
    <row r="12" spans="1:3">
      <c r="A12" s="18" t="s">
        <v>191</v>
      </c>
      <c r="B12" s="14" t="s">
        <v>192</v>
      </c>
      <c r="C12" s="16" t="s">
        <v>123</v>
      </c>
    </row>
    <row r="13" spans="1:3">
      <c r="A13" s="18" t="s">
        <v>193</v>
      </c>
      <c r="B13" s="14" t="s">
        <v>194</v>
      </c>
      <c r="C13" s="16" t="s">
        <v>195</v>
      </c>
    </row>
    <row r="14" spans="1:3">
      <c r="A14" s="18" t="s">
        <v>196</v>
      </c>
      <c r="B14" s="14" t="s">
        <v>197</v>
      </c>
      <c r="C14" s="16" t="s">
        <v>195</v>
      </c>
    </row>
    <row r="15" spans="1:3">
      <c r="A15" s="18" t="s">
        <v>198</v>
      </c>
      <c r="B15" s="14">
        <v>305</v>
      </c>
      <c r="C15" s="16" t="s">
        <v>179</v>
      </c>
    </row>
    <row r="16" spans="1:3">
      <c r="A16" s="18" t="s">
        <v>199</v>
      </c>
      <c r="B16" s="14">
        <v>900</v>
      </c>
      <c r="C16" s="16" t="s">
        <v>179</v>
      </c>
    </row>
    <row r="17" spans="1:3">
      <c r="A17" s="18" t="s">
        <v>200</v>
      </c>
      <c r="B17" s="14" t="s">
        <v>201</v>
      </c>
      <c r="C17" s="16" t="s">
        <v>179</v>
      </c>
    </row>
    <row r="18" spans="1:3">
      <c r="A18" s="18" t="s">
        <v>202</v>
      </c>
      <c r="B18" s="14" t="s">
        <v>203</v>
      </c>
      <c r="C18" s="16" t="s">
        <v>179</v>
      </c>
    </row>
    <row r="19" spans="1:3">
      <c r="A19" s="18" t="s">
        <v>204</v>
      </c>
      <c r="B19" s="14" t="s">
        <v>205</v>
      </c>
      <c r="C19" s="16" t="s">
        <v>179</v>
      </c>
    </row>
    <row r="20" spans="1:3">
      <c r="A20" s="18" t="s">
        <v>206</v>
      </c>
      <c r="B20" s="14" t="s">
        <v>207</v>
      </c>
      <c r="C20" s="16" t="s">
        <v>208</v>
      </c>
    </row>
    <row r="21" spans="1:3">
      <c r="A21" s="18" t="s">
        <v>209</v>
      </c>
      <c r="B21" s="14" t="s">
        <v>210</v>
      </c>
      <c r="C21" s="16" t="s">
        <v>208</v>
      </c>
    </row>
    <row r="22" spans="1:3">
      <c r="A22" s="18" t="s">
        <v>211</v>
      </c>
      <c r="B22" s="14">
        <v>24</v>
      </c>
      <c r="C22" s="16" t="s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2026-08-09T21:03:18Z</dcterms:created>
  <dcterms:modified xsi:type="dcterms:W3CDTF">2026-08-09T21:03:18Z</dcterms:modified>
</cp:coreProperties>
</file>