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从假设到决策(主表)" sheetId="1" state="visible" r:id="rId1"/>
    <sheet name="信源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9"/>
    </font>
    <font>
      <b val="1"/>
      <color rgb="00FFFFFF"/>
      <sz val="11"/>
    </font>
    <font>
      <b val="1"/>
      <color rgb="001F4E78"/>
      <sz val="11"/>
    </font>
    <font>
      <b val="1"/>
      <sz val="10"/>
    </font>
    <font>
      <sz val="9"/>
    </font>
    <font>
      <color rgb="00595959"/>
      <sz val="9"/>
    </font>
    <font>
      <color rgb="000563C1"/>
      <sz val="9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0CE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4" fontId="5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top" wrapText="1"/>
    </xf>
    <xf numFmtId="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top" wrapText="1"/>
    </xf>
    <xf numFmtId="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ijiahao.baidu.com/s?id=1870768882039945069" TargetMode="External" Id="rId1" /><Relationship Type="http://schemas.openxmlformats.org/officeDocument/2006/relationships/hyperlink" Target="https://news.bjx.com.cn/html/20250606/1445190.shtml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baijiahao.baidu.com/s?id=1870768882039945069" TargetMode="External" Id="rId1" /><Relationship Type="http://schemas.openxmlformats.org/officeDocument/2006/relationships/hyperlink" Target="https://news.bjx.com.cn/html/20250606/1445190.shtm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11" customWidth="1" min="4" max="4"/>
    <col width="11" customWidth="1" min="5" max="5"/>
    <col width="12" customWidth="1" min="6" max="6"/>
    <col width="11" customWidth="1" min="7" max="7"/>
    <col width="13" customWidth="1" min="8" max="8"/>
    <col width="30" customWidth="1" min="9" max="9"/>
  </cols>
  <sheetData>
    <row r="1" ht="22" customHeight="1">
      <c r="A1" s="1" t="inlineStr">
        <is>
          <t>「从假设到决策」主表 · 原型样例（v3.2 重排：主项在前、参数逐层展开；列=4类车型+总计）</t>
        </is>
      </c>
    </row>
    <row r="2">
      <c r="A2" s="2" t="inlineStr">
        <is>
          <t>口径：私家取稳健★、总计取稳健★（原 v3.2 三情景收敛为单稳健情景）；单位见各指标名。</t>
        </is>
      </c>
    </row>
    <row r="3">
      <c r="A3" s="2" t="inlineStr">
        <is>
          <t>编号跨行引用＝手写公式（如 ①、⑬），单元格为数值；参数（叶子）为外部假设或§参数，已显化'结果←参数'依赖。</t>
        </is>
      </c>
    </row>
    <row r="4">
      <c r="A4" s="2" t="inlineStr">
        <is>
          <t>信源列含可点击链接；经验假设标注'非外部信源'。原型样例，确认格式后扩成完整 37 指标版。</t>
        </is>
      </c>
    </row>
    <row r="6">
      <c r="A6" s="3" t="inlineStr">
        <is>
          <t>编号</t>
        </is>
      </c>
      <c r="B6" s="3" t="inlineStr">
        <is>
          <t>指标 / 参数</t>
        </is>
      </c>
      <c r="C6" s="3" t="inlineStr">
        <is>
          <t>计算链（跨行引用＝手写公式）</t>
        </is>
      </c>
      <c r="D6" s="4" t="inlineStr">
        <is>
          <t>重卡</t>
        </is>
      </c>
      <c r="E6" s="4" t="inlineStr">
        <is>
          <t>城配</t>
        </is>
      </c>
      <c r="F6" s="4" t="inlineStr">
        <is>
          <t>乘用营运</t>
        </is>
      </c>
      <c r="G6" s="4" t="inlineStr">
        <is>
          <t>私家</t>
        </is>
      </c>
      <c r="H6" s="4" t="inlineStr">
        <is>
          <t>总计</t>
        </is>
      </c>
      <c r="I6" s="4" t="inlineStr">
        <is>
          <t>信源 / 说明</t>
        </is>
      </c>
    </row>
    <row r="7">
      <c r="B7" s="5" t="inlineStr">
        <is>
          <t>A. 规模层 · 换电量枢纽（连接口）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7" t="inlineStr">
        <is>
          <t>①</t>
        </is>
      </c>
      <c r="B8" s="8" t="inlineStr">
        <is>
          <t>换电量（亿度/年）</t>
        </is>
      </c>
      <c r="C8" s="9">
        <f> 换电车辆 × 单次补电量 × 换电频次 × 年运营天数 ÷ 1e4</f>
        <v/>
      </c>
      <c r="D8" s="10" t="n">
        <v>958</v>
      </c>
      <c r="E8" s="10" t="n">
        <v>253</v>
      </c>
      <c r="F8" s="10" t="n">
        <v>196</v>
      </c>
      <c r="G8" s="10" t="n">
        <v>45</v>
      </c>
      <c r="H8" s="10" t="n">
        <v>1452</v>
      </c>
      <c r="I8" s="11" t="inlineStr">
        <is>
          <t>模型推算（§1.3.1）</t>
        </is>
      </c>
    </row>
    <row r="9">
      <c r="A9" s="12" t="inlineStr"/>
      <c r="B9" s="9" t="inlineStr">
        <is>
          <t>↳ 换电车辆（万）</t>
        </is>
      </c>
      <c r="C9" s="9" t="inlineStr">
        <is>
          <t>CATL 在网换电车辆数（§2.4 反推）</t>
        </is>
      </c>
      <c r="D9" s="13" t="n">
        <v>38</v>
      </c>
      <c r="E9" s="13" t="n">
        <v>87</v>
      </c>
      <c r="F9" s="13" t="n">
        <v>88</v>
      </c>
      <c r="G9" s="13" t="n">
        <v>145</v>
      </c>
      <c r="H9" s="13" t="n">
        <v>358</v>
      </c>
      <c r="I9" s="11" t="inlineStr">
        <is>
          <t>模型推算/§2.4</t>
        </is>
      </c>
    </row>
    <row r="10">
      <c r="A10" s="12" t="inlineStr"/>
      <c r="B10" s="9" t="inlineStr">
        <is>
          <t>↳ 单车带电量（kWh）</t>
        </is>
      </c>
      <c r="C10" s="9" t="inlineStr">
        <is>
          <t>车型公告口径</t>
        </is>
      </c>
      <c r="D10" s="13" t="n">
        <v>500</v>
      </c>
      <c r="E10" s="13" t="n">
        <v>80</v>
      </c>
      <c r="F10" s="13" t="n">
        <v>56</v>
      </c>
      <c r="G10" s="13" t="n">
        <v>56</v>
      </c>
      <c r="H10" s="14" t="inlineStr">
        <is>
          <t>—</t>
        </is>
      </c>
      <c r="I10" s="11" t="inlineStr">
        <is>
          <t>车型公告</t>
        </is>
      </c>
    </row>
    <row r="11">
      <c r="A11" s="12" t="inlineStr"/>
      <c r="B11" s="9" t="inlineStr">
        <is>
          <t>↳ 单次补电量（kWh）</t>
        </is>
      </c>
      <c r="C11" s="9">
        <f> 单车带电量 × 余电折扣 0.8</f>
        <v/>
      </c>
      <c r="D11" s="13" t="n">
        <v>400</v>
      </c>
      <c r="E11" s="13" t="n">
        <v>64</v>
      </c>
      <c r="F11" s="13" t="n">
        <v>44.8</v>
      </c>
      <c r="G11" s="13" t="n">
        <v>44.8</v>
      </c>
      <c r="H11" s="14" t="inlineStr">
        <is>
          <t>—</t>
        </is>
      </c>
      <c r="I11" s="11" t="inlineStr">
        <is>
          <t>§2.1</t>
        </is>
      </c>
    </row>
    <row r="12">
      <c r="A12" s="12" t="inlineStr"/>
      <c r="B12" s="9" t="inlineStr">
        <is>
          <t>↳ 换电频次（次/天）</t>
        </is>
      </c>
      <c r="C12" s="9" t="inlineStr">
        <is>
          <t>§2.4 运营强度</t>
        </is>
      </c>
      <c r="D12" s="13" t="n">
        <v>1.8</v>
      </c>
      <c r="E12" s="13" t="n">
        <v>1.3</v>
      </c>
      <c r="F12" s="13" t="n">
        <v>1.42</v>
      </c>
      <c r="G12" s="13" t="n">
        <v>0.2</v>
      </c>
      <c r="H12" s="14" t="inlineStr">
        <is>
          <t>—</t>
        </is>
      </c>
      <c r="I12" s="11" t="inlineStr">
        <is>
          <t>§2.4</t>
        </is>
      </c>
    </row>
    <row r="13">
      <c r="A13" s="12" t="inlineStr"/>
      <c r="B13" s="9" t="inlineStr">
        <is>
          <t>↳ 年运营天数（天）</t>
        </is>
      </c>
      <c r="C13" s="9" t="inlineStr">
        <is>
          <t>保守 350（留检修/极端天气）</t>
        </is>
      </c>
      <c r="D13" s="13" t="n">
        <v>350</v>
      </c>
      <c r="E13" s="13" t="n">
        <v>350</v>
      </c>
      <c r="F13" s="13" t="n">
        <v>350</v>
      </c>
      <c r="G13" s="13" t="n">
        <v>350</v>
      </c>
      <c r="H13" s="14" t="inlineStr">
        <is>
          <t>—</t>
        </is>
      </c>
      <c r="I13" s="11" t="inlineStr">
        <is>
          <t>经验假设（非外部信源）</t>
        </is>
      </c>
    </row>
    <row r="14">
      <c r="B14" s="5" t="inlineStr">
        <is>
          <t>B. 收入端</t>
        </is>
      </c>
      <c r="C14" s="6" t="n"/>
      <c r="D14" s="6" t="n"/>
      <c r="E14" s="6" t="n"/>
      <c r="F14" s="6" t="n"/>
      <c r="G14" s="6" t="n"/>
      <c r="H14" s="6" t="n"/>
      <c r="I14" s="6" t="n"/>
    </row>
    <row r="15">
      <c r="A15" s="7" t="inlineStr">
        <is>
          <t>②</t>
        </is>
      </c>
      <c r="B15" s="15" t="inlineStr">
        <is>
          <t>换电服务费（亿）</t>
        </is>
      </c>
      <c r="C15" s="9">
        <f> ①换电量 × 度电服务费</f>
        <v/>
      </c>
      <c r="D15" s="16" t="n">
        <v>383</v>
      </c>
      <c r="E15" s="16" t="n">
        <v>101</v>
      </c>
      <c r="F15" s="16" t="n">
        <v>78</v>
      </c>
      <c r="G15" s="16" t="n">
        <v>18</v>
      </c>
      <c r="H15" s="16" t="n">
        <v>580</v>
      </c>
      <c r="I15" s="11" t="inlineStr">
        <is>
          <t>模型推算</t>
        </is>
      </c>
    </row>
    <row r="16">
      <c r="A16" s="12" t="inlineStr"/>
      <c r="B16" s="9" t="inlineStr">
        <is>
          <t>↳ 度电服务费（元/kWh）</t>
        </is>
      </c>
      <c r="C16" s="9" t="inlineStr">
        <is>
          <t>§2.1 净额法口径</t>
        </is>
      </c>
      <c r="D16" s="13" t="n">
        <v>0.4</v>
      </c>
      <c r="E16" s="13" t="n">
        <v>0.4</v>
      </c>
      <c r="F16" s="13" t="n">
        <v>0.4</v>
      </c>
      <c r="G16" s="13" t="n">
        <v>0.4</v>
      </c>
      <c r="H16" s="14" t="inlineStr">
        <is>
          <t>—</t>
        </is>
      </c>
      <c r="I16" s="11" t="inlineStr">
        <is>
          <t>§2.1</t>
        </is>
      </c>
    </row>
    <row r="17">
      <c r="A17" s="7" t="inlineStr">
        <is>
          <t>③</t>
        </is>
      </c>
      <c r="B17" s="15" t="inlineStr">
        <is>
          <t>电池租金（亿）</t>
        </is>
      </c>
      <c r="C17" s="9">
        <f> 收租装机 × 度电租金 ÷ 100（收租装机 = 装车 + 站内周转×60%外部股东）</f>
        <v/>
      </c>
      <c r="D17" s="16" t="n">
        <v>235</v>
      </c>
      <c r="E17" s="16" t="n">
        <v>83</v>
      </c>
      <c r="F17" s="16" t="n">
        <v>63</v>
      </c>
      <c r="G17" s="16" t="n">
        <v>97</v>
      </c>
      <c r="H17" s="16" t="n">
        <v>478</v>
      </c>
      <c r="I17" s="11" t="inlineStr">
        <is>
          <t>模型推算</t>
        </is>
      </c>
    </row>
    <row r="18">
      <c r="A18" s="12" t="inlineStr"/>
      <c r="B18" s="9" t="inlineStr">
        <is>
          <t>↳ 度电租金（元/kWh·年）</t>
        </is>
      </c>
      <c r="C18" s="9" t="inlineStr">
        <is>
          <t>§2.1 综合 ~10元/月</t>
        </is>
      </c>
      <c r="D18" s="13" t="n">
        <v>120</v>
      </c>
      <c r="E18" s="13" t="n">
        <v>120</v>
      </c>
      <c r="F18" s="13" t="n">
        <v>120</v>
      </c>
      <c r="G18" s="13" t="n">
        <v>120</v>
      </c>
      <c r="H18" s="14" t="inlineStr">
        <is>
          <t>—</t>
        </is>
      </c>
      <c r="I18" s="11" t="inlineStr">
        <is>
          <t>§2.1 蔚能ABS月租</t>
        </is>
      </c>
    </row>
    <row r="19">
      <c r="A19" s="7" t="inlineStr">
        <is>
          <t>④</t>
        </is>
      </c>
      <c r="B19" s="15" t="inlineStr">
        <is>
          <t>峰谷套利（亿）</t>
        </is>
      </c>
      <c r="C19" s="9">
        <f> 站内周转装机 × 天数 × 峰谷差 × RTE ÷ 100（每天只计1次）</f>
        <v/>
      </c>
      <c r="D19" s="16" t="n">
        <v>15</v>
      </c>
      <c r="E19" s="16" t="n">
        <v>0</v>
      </c>
      <c r="F19" s="16" t="n">
        <v>8</v>
      </c>
      <c r="G19" s="16" t="n">
        <v>0</v>
      </c>
      <c r="H19" s="16" t="n">
        <v>23</v>
      </c>
      <c r="I19" s="11" t="inlineStr">
        <is>
          <t>模型推算</t>
        </is>
      </c>
    </row>
    <row r="20">
      <c r="A20" s="12" t="inlineStr"/>
      <c r="B20" s="9" t="inlineStr">
        <is>
          <t>↳ 峰谷差（元/kWh）</t>
        </is>
      </c>
      <c r="C20" s="9" t="inlineStr">
        <is>
          <t>谷 0.3 → 峰 0.7</t>
        </is>
      </c>
      <c r="D20" s="13" t="n">
        <v>0.4</v>
      </c>
      <c r="E20" s="13" t="n">
        <v>0.4</v>
      </c>
      <c r="F20" s="13" t="n">
        <v>0.4</v>
      </c>
      <c r="G20" s="13" t="n">
        <v>0.4</v>
      </c>
      <c r="H20" s="14" t="inlineStr">
        <is>
          <t>—</t>
        </is>
      </c>
      <c r="I20" s="11" t="inlineStr">
        <is>
          <t>经验假设（非外部信源）</t>
        </is>
      </c>
    </row>
    <row r="21">
      <c r="A21" s="12" t="inlineStr"/>
      <c r="B21" s="9" t="inlineStr">
        <is>
          <t>↳ RTE（往返效率）</t>
        </is>
      </c>
      <c r="C21" s="9" t="inlineStr">
        <is>
          <t>锂电 90–95% 中值</t>
        </is>
      </c>
      <c r="D21" s="13" t="n">
        <v>0.92</v>
      </c>
      <c r="E21" s="13" t="n">
        <v>0.92</v>
      </c>
      <c r="F21" s="13" t="n">
        <v>0.92</v>
      </c>
      <c r="G21" s="13" t="n">
        <v>0.92</v>
      </c>
      <c r="H21" s="14" t="inlineStr">
        <is>
          <t>—</t>
        </is>
      </c>
      <c r="I21" s="11" t="inlineStr">
        <is>
          <t>工程参数</t>
        </is>
      </c>
    </row>
    <row r="22">
      <c r="A22" s="7" t="inlineStr">
        <is>
          <t>⑤a</t>
        </is>
      </c>
      <c r="B22" s="15" t="inlineStr">
        <is>
          <t>容量补偿（亿）</t>
        </is>
      </c>
      <c r="C22" s="9">
        <f> 站数 × 单站申报容量 × 容量补偿单价（存在即挣，不乘小时）</f>
        <v/>
      </c>
      <c r="D22" s="16" t="n">
        <v>0.21</v>
      </c>
      <c r="E22" s="16" t="n">
        <v>0</v>
      </c>
      <c r="F22" s="16" t="n">
        <v>0.09</v>
      </c>
      <c r="G22" s="16" t="n">
        <v>0</v>
      </c>
      <c r="H22" s="16" t="n">
        <v>0.3</v>
      </c>
      <c r="I22" s="11" t="inlineStr">
        <is>
          <t>模型推算</t>
        </is>
      </c>
    </row>
    <row r="23">
      <c r="A23" s="12" t="inlineStr"/>
      <c r="B23" s="9" t="inlineStr">
        <is>
          <t>↳ 容量补偿单价（元/kW·年）</t>
        </is>
      </c>
      <c r="C23" s="9" t="inlineStr">
        <is>
          <t>广东容量补偿下限 45 元（保守锚）</t>
        </is>
      </c>
      <c r="D23" s="13" t="n">
        <v>45</v>
      </c>
      <c r="E23" s="13" t="n">
        <v>0</v>
      </c>
      <c r="F23" s="13" t="n">
        <v>45</v>
      </c>
      <c r="G23" s="13" t="n">
        <v>0</v>
      </c>
      <c r="H23" s="14" t="inlineStr">
        <is>
          <t>—</t>
        </is>
      </c>
      <c r="I23" s="17" t="inlineStr">
        <is>
          <t>广东容量补偿解读</t>
        </is>
      </c>
    </row>
    <row r="24">
      <c r="A24" s="12" t="inlineStr"/>
      <c r="B24" s="9" t="inlineStr">
        <is>
          <t>↳ 单站申报容量（kW）</t>
        </is>
      </c>
      <c r="C24" s="9">
        <f> 满负荷功率 × 保供折扣 × SOC折扣 × 保守系数</f>
        <v/>
      </c>
      <c r="D24" s="13" t="n">
        <v>152</v>
      </c>
      <c r="E24" s="13" t="n">
        <v>0</v>
      </c>
      <c r="F24" s="13" t="n">
        <v>25</v>
      </c>
      <c r="G24" s="13" t="n">
        <v>0</v>
      </c>
      <c r="H24" s="14" t="inlineStr">
        <is>
          <t>—</t>
        </is>
      </c>
      <c r="I24" s="11" t="inlineStr">
        <is>
          <t>模型推算</t>
        </is>
      </c>
    </row>
    <row r="25">
      <c r="A25" s="12" t="inlineStr"/>
      <c r="B25" s="9" t="inlineStr">
        <is>
          <t>↳ 保供折扣</t>
        </is>
      </c>
      <c r="C25" s="9" t="inlineStr">
        <is>
          <t>响应时须保底换电运营</t>
        </is>
      </c>
      <c r="D25" s="13" t="n">
        <v>0.15</v>
      </c>
      <c r="E25" s="13" t="n">
        <v>0</v>
      </c>
      <c r="F25" s="13" t="n">
        <v>0.2</v>
      </c>
      <c r="G25" s="13" t="n">
        <v>0</v>
      </c>
      <c r="H25" s="14" t="inlineStr">
        <is>
          <t>—</t>
        </is>
      </c>
      <c r="I25" s="11" t="inlineStr">
        <is>
          <t>工程参数</t>
        </is>
      </c>
    </row>
    <row r="26">
      <c r="A26" s="12" t="inlineStr"/>
      <c r="B26" s="9" t="inlineStr">
        <is>
          <t>↳ SOC折扣</t>
        </is>
      </c>
      <c r="C26" s="9" t="inlineStr">
        <is>
          <t>电池留安全余量，非满SOC可调用</t>
        </is>
      </c>
      <c r="D26" s="13" t="n">
        <v>0.45</v>
      </c>
      <c r="E26" s="13" t="n">
        <v>0</v>
      </c>
      <c r="F26" s="13" t="n">
        <v>0.5</v>
      </c>
      <c r="G26" s="13" t="n">
        <v>0</v>
      </c>
      <c r="H26" s="14" t="inlineStr">
        <is>
          <t>—</t>
        </is>
      </c>
      <c r="I26" s="11" t="inlineStr">
        <is>
          <t>工程参数</t>
        </is>
      </c>
    </row>
    <row r="27">
      <c r="A27" s="12" t="inlineStr"/>
      <c r="B27" s="9" t="inlineStr">
        <is>
          <t>↳ 保守系数</t>
        </is>
      </c>
      <c r="C27" s="9" t="inlineStr">
        <is>
          <t>实测前保守折算（待一年数据校准）</t>
        </is>
      </c>
      <c r="D27" s="13" t="n">
        <v>0.5</v>
      </c>
      <c r="E27" s="13" t="n">
        <v>0</v>
      </c>
      <c r="F27" s="13" t="n">
        <v>0.5</v>
      </c>
      <c r="G27" s="13" t="n">
        <v>0</v>
      </c>
      <c r="H27" s="14" t="inlineStr">
        <is>
          <t>—</t>
        </is>
      </c>
      <c r="I27" s="11" t="inlineStr">
        <is>
          <t>经验假设（非外部信源）</t>
        </is>
      </c>
    </row>
    <row r="28">
      <c r="A28" s="7" t="inlineStr">
        <is>
          <t>⑤b</t>
        </is>
      </c>
      <c r="B28" s="15" t="inlineStr">
        <is>
          <t>需求响应/电量补偿（亿）</t>
        </is>
      </c>
      <c r="C28" s="9">
        <f> 站数 × 申报容量 × 等效小时 × 电量单价（与⑥互斥取孰高）</f>
        <v/>
      </c>
      <c r="D28" s="16" t="n">
        <v>1.37</v>
      </c>
      <c r="E28" s="16" t="n">
        <v>0</v>
      </c>
      <c r="F28" s="16" t="n">
        <v>0.6</v>
      </c>
      <c r="G28" s="16" t="n">
        <v>0</v>
      </c>
      <c r="H28" s="16" t="n">
        <v>1.97</v>
      </c>
      <c r="I28" s="11" t="inlineStr">
        <is>
          <t>模型推算</t>
        </is>
      </c>
    </row>
    <row r="29">
      <c r="A29" s="12" t="inlineStr"/>
      <c r="B29" s="9" t="inlineStr">
        <is>
          <t>↳ 电量单价（元/kWh）</t>
        </is>
      </c>
      <c r="C29" s="9" t="inlineStr">
        <is>
          <t>浙4/粤2.7 中间偏下 3.0</t>
        </is>
      </c>
      <c r="D29" s="13" t="n">
        <v>3</v>
      </c>
      <c r="E29" s="13" t="n">
        <v>0</v>
      </c>
      <c r="F29" s="13" t="n">
        <v>3</v>
      </c>
      <c r="G29" s="13" t="n">
        <v>0</v>
      </c>
      <c r="H29" s="14" t="inlineStr">
        <is>
          <t>—</t>
        </is>
      </c>
      <c r="I29" s="17" t="inlineStr">
        <is>
          <t>浙江两部制/广东2.0</t>
        </is>
      </c>
    </row>
    <row r="30">
      <c r="A30" s="12" t="inlineStr"/>
      <c r="B30" s="9" t="inlineStr">
        <is>
          <t>↳ 等效小时（h）</t>
        </is>
      </c>
      <c r="C30" s="9" t="inlineStr">
        <is>
          <t>冬夏高峰~4个月取 100h</t>
        </is>
      </c>
      <c r="D30" s="13" t="n">
        <v>100</v>
      </c>
      <c r="E30" s="13" t="n">
        <v>0</v>
      </c>
      <c r="F30" s="13" t="n">
        <v>100</v>
      </c>
      <c r="G30" s="13" t="n">
        <v>0</v>
      </c>
      <c r="H30" s="14" t="inlineStr">
        <is>
          <t>—</t>
        </is>
      </c>
      <c r="I30" s="11" t="inlineStr">
        <is>
          <t>经验假设（非外部信源）</t>
        </is>
      </c>
    </row>
    <row r="31">
      <c r="A31" s="7" t="inlineStr">
        <is>
          <t>⑥</t>
        </is>
      </c>
      <c r="B31" s="15" t="inlineStr">
        <is>
          <t>调频 VPP（亿）</t>
        </is>
      </c>
      <c r="C31" s="9">
        <f> 站数 × 可申报容量 × 年利用小时 × 调频价 ÷ 1e8（与⑤b互斥取孰高）</f>
        <v/>
      </c>
      <c r="D31" s="16" t="n">
        <v>1.7</v>
      </c>
      <c r="E31" s="16" t="n">
        <v>0</v>
      </c>
      <c r="F31" s="16" t="n">
        <v>3.1</v>
      </c>
      <c r="G31" s="16" t="n">
        <v>0</v>
      </c>
      <c r="H31" s="16" t="n">
        <v>4.86</v>
      </c>
      <c r="I31" s="11" t="inlineStr">
        <is>
          <t>模型推算</t>
        </is>
      </c>
    </row>
    <row r="32">
      <c r="A32" s="12" t="inlineStr"/>
      <c r="B32" s="9" t="inlineStr">
        <is>
          <t>↳ 可申报容量（kW）</t>
        </is>
      </c>
      <c r="C32" s="9" t="inlineStr">
        <is>
          <t>重卡450 / 乘用300（蔚来苏州68站实测294kW）</t>
        </is>
      </c>
      <c r="D32" s="13" t="n">
        <v>450</v>
      </c>
      <c r="E32" s="13" t="n">
        <v>0</v>
      </c>
      <c r="F32" s="13" t="n">
        <v>300</v>
      </c>
      <c r="G32" s="13" t="n">
        <v>0</v>
      </c>
      <c r="H32" s="14" t="inlineStr">
        <is>
          <t>—</t>
        </is>
      </c>
      <c r="I32" s="11" t="inlineStr">
        <is>
          <t>换电框架-能量维度</t>
        </is>
      </c>
    </row>
    <row r="33">
      <c r="A33" s="12" t="inlineStr"/>
      <c r="B33" s="9" t="inlineStr">
        <is>
          <t>↳ 年利用小时（h）</t>
        </is>
      </c>
      <c r="C33" s="9" t="inlineStr">
        <is>
          <t>—</t>
        </is>
      </c>
      <c r="D33" s="13" t="n">
        <v>350</v>
      </c>
      <c r="E33" s="13" t="n">
        <v>0</v>
      </c>
      <c r="F33" s="13" t="n">
        <v>350</v>
      </c>
      <c r="G33" s="13" t="n">
        <v>0</v>
      </c>
      <c r="H33" s="14" t="inlineStr">
        <is>
          <t>—</t>
        </is>
      </c>
      <c r="I33" s="11" t="inlineStr">
        <is>
          <t>经验假设（非外部信源）</t>
        </is>
      </c>
    </row>
    <row r="34">
      <c r="A34" s="12" t="inlineStr"/>
      <c r="B34" s="9" t="inlineStr">
        <is>
          <t>↳ 调频价格（元/kWh）</t>
        </is>
      </c>
      <c r="C34" s="9" t="inlineStr">
        <is>
          <t>浙江调频细则 3.0</t>
        </is>
      </c>
      <c r="D34" s="13" t="n">
        <v>0.37</v>
      </c>
      <c r="E34" s="13" t="n">
        <v>0</v>
      </c>
      <c r="F34" s="13" t="n">
        <v>0.37</v>
      </c>
      <c r="G34" s="13" t="n">
        <v>0</v>
      </c>
      <c r="H34" s="14" t="inlineStr">
        <is>
          <t>—</t>
        </is>
      </c>
      <c r="I34" s="11" t="inlineStr">
        <is>
          <t>浙江调频细则</t>
        </is>
      </c>
    </row>
    <row r="35">
      <c r="A35" s="7" t="inlineStr"/>
      <c r="B35" s="15" t="inlineStr">
        <is>
          <t>辅助服务合计（亿）</t>
        </is>
      </c>
      <c r="C35" s="9">
        <f> ⑤a + max(⑤b, ⑥)</f>
        <v/>
      </c>
      <c r="D35" s="16" t="n">
        <v>1.95</v>
      </c>
      <c r="E35" s="16" t="n">
        <v>0</v>
      </c>
      <c r="F35" s="16" t="n">
        <v>3.2</v>
      </c>
      <c r="G35" s="16" t="n">
        <v>0</v>
      </c>
      <c r="H35" s="16" t="n">
        <v>5.15</v>
      </c>
      <c r="I35" s="11" t="inlineStr">
        <is>
          <t>模型推算</t>
        </is>
      </c>
    </row>
    <row r="36">
      <c r="A36" s="7" t="inlineStr">
        <is>
          <t>⑦</t>
        </is>
      </c>
      <c r="B36" s="15" t="inlineStr">
        <is>
          <t>营收合计（亿）</t>
        </is>
      </c>
      <c r="C36" s="9">
        <f> ② + ③ + ④ + 辅助服务合计</f>
        <v/>
      </c>
      <c r="D36" s="16" t="n">
        <v>644</v>
      </c>
      <c r="E36" s="16" t="n">
        <v>184</v>
      </c>
      <c r="F36" s="16" t="n">
        <v>156</v>
      </c>
      <c r="G36" s="16" t="n">
        <v>128</v>
      </c>
      <c r="H36" s="16" t="n">
        <v>1099</v>
      </c>
      <c r="I36" s="11" t="inlineStr">
        <is>
          <t>模型推算</t>
        </is>
      </c>
    </row>
    <row r="37">
      <c r="B37" s="5" t="inlineStr">
        <is>
          <t>C. 成本端（OPEX，不含折旧）</t>
        </is>
      </c>
      <c r="C37" s="6" t="n"/>
      <c r="D37" s="6" t="n"/>
      <c r="E37" s="6" t="n"/>
      <c r="F37" s="6" t="n"/>
      <c r="G37" s="6" t="n"/>
      <c r="H37" s="6" t="n"/>
      <c r="I37" s="6" t="n"/>
    </row>
    <row r="38">
      <c r="A38" s="7" t="inlineStr">
        <is>
          <t>⑧</t>
        </is>
      </c>
      <c r="B38" s="18" t="inlineStr">
        <is>
          <t>充电成本（亿）</t>
        </is>
      </c>
      <c r="C38" s="9" t="inlineStr">
        <is>
          <t>净额法：净电量 × 谷电价</t>
        </is>
      </c>
      <c r="D38" s="19" t="n">
        <v>31</v>
      </c>
      <c r="E38" s="19" t="n">
        <v>8</v>
      </c>
      <c r="F38" s="19" t="n">
        <v>6</v>
      </c>
      <c r="G38" s="19" t="n">
        <v>1</v>
      </c>
      <c r="H38" s="19" t="n">
        <v>46</v>
      </c>
      <c r="I38" s="11" t="inlineStr">
        <is>
          <t>模型推算</t>
        </is>
      </c>
    </row>
    <row r="39">
      <c r="A39" s="12" t="inlineStr"/>
      <c r="B39" s="9" t="inlineStr">
        <is>
          <t>↳ 谷电价（元/度）</t>
        </is>
      </c>
      <c r="C39" s="9" t="inlineStr">
        <is>
          <t>§2.1</t>
        </is>
      </c>
      <c r="D39" s="13" t="n">
        <v>0.3</v>
      </c>
      <c r="E39" s="13" t="n">
        <v>0.3</v>
      </c>
      <c r="F39" s="13" t="n">
        <v>0.3</v>
      </c>
      <c r="G39" s="13" t="n">
        <v>0.3</v>
      </c>
      <c r="H39" s="14" t="inlineStr">
        <is>
          <t>—</t>
        </is>
      </c>
      <c r="I39" s="11" t="inlineStr">
        <is>
          <t>§2.1 经验假设</t>
        </is>
      </c>
    </row>
    <row r="40">
      <c r="A40" s="12" t="inlineStr"/>
      <c r="B40" s="9" t="inlineStr">
        <is>
          <t>↳ 净电量（亿度）</t>
        </is>
      </c>
      <c r="C40" s="9">
        <f> 总充电量 − 换电量</f>
        <v/>
      </c>
      <c r="D40" s="13" t="n">
        <v>103</v>
      </c>
      <c r="E40" s="13" t="n">
        <v>27</v>
      </c>
      <c r="F40" s="13" t="n">
        <v>20</v>
      </c>
      <c r="G40" s="13" t="n">
        <v>3</v>
      </c>
      <c r="H40" s="13" t="n">
        <v>153</v>
      </c>
      <c r="I40" s="11" t="inlineStr">
        <is>
          <t>模型推算</t>
        </is>
      </c>
    </row>
    <row r="41">
      <c r="A41" s="12" t="inlineStr"/>
      <c r="B41" s="9" t="inlineStr">
        <is>
          <t>↳ 总充电量（亿度）</t>
        </is>
      </c>
      <c r="C41" s="9">
        <f> ①换电量 ÷ RTE × (1 + 厂用电率)</f>
        <v/>
      </c>
      <c r="D41" s="13" t="n">
        <v>1062</v>
      </c>
      <c r="E41" s="13" t="n">
        <v>280</v>
      </c>
      <c r="F41" s="13" t="n">
        <v>217</v>
      </c>
      <c r="G41" s="13" t="n">
        <v>50</v>
      </c>
      <c r="H41" s="13" t="n">
        <v>1610</v>
      </c>
      <c r="I41" s="11" t="inlineStr">
        <is>
          <t>模型推算</t>
        </is>
      </c>
    </row>
    <row r="42">
      <c r="A42" s="12" t="inlineStr"/>
      <c r="B42" s="9" t="inlineStr">
        <is>
          <t>↳ 厂用电率</t>
        </is>
      </c>
      <c r="C42" s="9" t="inlineStr">
        <is>
          <t>站内空调/控制自耗</t>
        </is>
      </c>
      <c r="D42" s="13" t="n">
        <v>0.02</v>
      </c>
      <c r="E42" s="13" t="n">
        <v>0.02</v>
      </c>
      <c r="F42" s="13" t="n">
        <v>0.02</v>
      </c>
      <c r="G42" s="13" t="n">
        <v>0.02</v>
      </c>
      <c r="H42" s="14" t="inlineStr">
        <is>
          <t>—</t>
        </is>
      </c>
      <c r="I42" s="11" t="inlineStr">
        <is>
          <t>经验假设（非外部信源）</t>
        </is>
      </c>
    </row>
    <row r="43">
      <c r="A43" s="7" t="inlineStr">
        <is>
          <t>⑨</t>
        </is>
      </c>
      <c r="B43" s="18" t="inlineStr">
        <is>
          <t>场租（亿）</t>
        </is>
      </c>
      <c r="C43" s="9">
        <f> 站数 × 单站年租 ÷ 1e4</f>
        <v/>
      </c>
      <c r="D43" s="19" t="n">
        <v>9</v>
      </c>
      <c r="E43" s="19" t="n">
        <v>0</v>
      </c>
      <c r="F43" s="19" t="n">
        <v>24</v>
      </c>
      <c r="G43" s="19" t="n">
        <v>0</v>
      </c>
      <c r="H43" s="19" t="n">
        <v>33</v>
      </c>
      <c r="I43" s="11" t="inlineStr">
        <is>
          <t>模型推算</t>
        </is>
      </c>
    </row>
    <row r="44">
      <c r="A44" s="12" t="inlineStr"/>
      <c r="B44" s="9" t="inlineStr">
        <is>
          <t>↳ 单站年租（万/座）</t>
        </is>
      </c>
      <c r="C44" s="9" t="inlineStr">
        <is>
          <t>§2.1</t>
        </is>
      </c>
      <c r="D44" s="13" t="n">
        <v>30</v>
      </c>
      <c r="E44" s="13" t="n">
        <v>0</v>
      </c>
      <c r="F44" s="13" t="n">
        <v>30</v>
      </c>
      <c r="G44" s="13" t="n">
        <v>0</v>
      </c>
      <c r="H44" s="14" t="inlineStr">
        <is>
          <t>—</t>
        </is>
      </c>
      <c r="I44" s="11" t="inlineStr">
        <is>
          <t>§2.1 经验假设</t>
        </is>
      </c>
    </row>
    <row r="45">
      <c r="A45" s="7" t="inlineStr">
        <is>
          <t>⑩</t>
        </is>
      </c>
      <c r="B45" s="18" t="inlineStr">
        <is>
          <t>人工+运维（亿）</t>
        </is>
      </c>
      <c r="C45" s="9">
        <f> 年服务次数 × 单次成本</f>
        <v/>
      </c>
      <c r="D45" s="19" t="n">
        <v>72</v>
      </c>
      <c r="E45" s="19" t="n">
        <v>51</v>
      </c>
      <c r="F45" s="19" t="n">
        <v>57</v>
      </c>
      <c r="G45" s="19" t="n">
        <v>13</v>
      </c>
      <c r="H45" s="19" t="n">
        <v>193</v>
      </c>
      <c r="I45" s="11" t="inlineStr">
        <is>
          <t>模型推算</t>
        </is>
      </c>
    </row>
    <row r="46">
      <c r="A46" s="12" t="inlineStr"/>
      <c r="B46" s="9" t="inlineStr">
        <is>
          <t>↳ 年服务次数（亿次）</t>
        </is>
      </c>
      <c r="C46" s="9">
        <f> ①换电量 ÷ 单次补电量</f>
        <v/>
      </c>
      <c r="D46" s="13" t="n">
        <v>2.4</v>
      </c>
      <c r="E46" s="13" t="n">
        <v>3.95</v>
      </c>
      <c r="F46" s="13" t="n">
        <v>4.38</v>
      </c>
      <c r="G46" s="13" t="n">
        <v>1</v>
      </c>
      <c r="H46" s="13" t="n">
        <v>11.72</v>
      </c>
      <c r="I46" s="11" t="inlineStr">
        <is>
          <t>模型推算</t>
        </is>
      </c>
    </row>
    <row r="47">
      <c r="A47" s="12" t="inlineStr"/>
      <c r="B47" s="9" t="inlineStr">
        <is>
          <t>↳ 单次成本（元/次）</t>
        </is>
      </c>
      <c r="C47" s="9" t="inlineStr">
        <is>
          <t>重卡30 / 乘用13</t>
        </is>
      </c>
      <c r="D47" s="13" t="n">
        <v>30</v>
      </c>
      <c r="E47" s="13" t="n">
        <v>13</v>
      </c>
      <c r="F47" s="13" t="n">
        <v>13</v>
      </c>
      <c r="G47" s="13" t="n">
        <v>13</v>
      </c>
      <c r="H47" s="14" t="inlineStr">
        <is>
          <t>—</t>
        </is>
      </c>
      <c r="I47" s="17" t="inlineStr">
        <is>
          <t>能量维度②（见 换电框架-能量维度.md）</t>
        </is>
      </c>
    </row>
    <row r="48">
      <c r="A48" s="7" t="inlineStr">
        <is>
          <t>⑪</t>
        </is>
      </c>
      <c r="B48" s="18" t="inlineStr">
        <is>
          <t>软件调度（亿）</t>
        </is>
      </c>
      <c r="C48" s="9" t="inlineStr">
        <is>
          <t>固定 20 亿：私家 3 亿 + 营运 17 亿按站数分摊</t>
        </is>
      </c>
      <c r="D48" s="19" t="n">
        <v>4.6</v>
      </c>
      <c r="E48" s="19" t="n">
        <v>0</v>
      </c>
      <c r="F48" s="19" t="n">
        <v>12.4</v>
      </c>
      <c r="G48" s="19" t="n">
        <v>3</v>
      </c>
      <c r="H48" s="19" t="n">
        <v>20</v>
      </c>
      <c r="I48" s="11" t="inlineStr">
        <is>
          <t>模型设定</t>
        </is>
      </c>
    </row>
    <row r="49">
      <c r="A49" s="7" t="inlineStr">
        <is>
          <t>⑫</t>
        </is>
      </c>
      <c r="B49" s="18" t="inlineStr">
        <is>
          <t>OPEX 合计（亿）</t>
        </is>
      </c>
      <c r="C49" s="9">
        <f> ⑧ + ⑨ + ⑩ + ⑪</f>
        <v/>
      </c>
      <c r="D49" s="19" t="n">
        <v>117</v>
      </c>
      <c r="E49" s="19" t="n">
        <v>60</v>
      </c>
      <c r="F49" s="19" t="n">
        <v>100</v>
      </c>
      <c r="G49" s="19" t="n">
        <v>17</v>
      </c>
      <c r="H49" s="19" t="n">
        <v>295</v>
      </c>
      <c r="I49" s="11" t="inlineStr">
        <is>
          <t>模型推算</t>
        </is>
      </c>
    </row>
    <row r="50">
      <c r="B50" s="5" t="inlineStr">
        <is>
          <t>D. 可交付 EBITDA（经营能力侧）</t>
        </is>
      </c>
      <c r="C50" s="6" t="n"/>
      <c r="D50" s="6" t="n"/>
      <c r="E50" s="6" t="n"/>
      <c r="F50" s="6" t="n"/>
      <c r="G50" s="6" t="n"/>
      <c r="H50" s="6" t="n"/>
      <c r="I50" s="6" t="n"/>
    </row>
    <row r="51">
      <c r="A51" s="7" t="inlineStr">
        <is>
          <t>⑬</t>
        </is>
      </c>
      <c r="B51" s="20" t="inlineStr">
        <is>
          <t>年可交付EBITDA（亿）</t>
        </is>
      </c>
      <c r="C51" s="9">
        <f> ⑦营收合计 − ⑫OPEX合计</f>
        <v/>
      </c>
      <c r="D51" s="21" t="n">
        <v>527</v>
      </c>
      <c r="E51" s="21" t="n">
        <v>124</v>
      </c>
      <c r="F51" s="21" t="n">
        <v>56</v>
      </c>
      <c r="G51" s="21" t="n">
        <v>111</v>
      </c>
      <c r="H51" s="21" t="n">
        <v>805</v>
      </c>
      <c r="I51" s="11" t="inlineStr">
        <is>
          <t>模型推算</t>
        </is>
      </c>
    </row>
    <row r="52">
      <c r="A52" s="12" t="inlineStr"/>
      <c r="B52" s="9" t="inlineStr">
        <is>
          <t>↳ EBITDA率</t>
        </is>
      </c>
      <c r="C52" s="9">
        <f> ⑬ ÷ ⑦</f>
        <v/>
      </c>
      <c r="D52" s="13" t="n">
        <v>0.8179999999999999</v>
      </c>
      <c r="E52" s="13" t="n">
        <v>0.674</v>
      </c>
      <c r="F52" s="13" t="n">
        <v>0.359</v>
      </c>
      <c r="G52" s="13" t="n">
        <v>0.867</v>
      </c>
      <c r="H52" s="13" t="n">
        <v>0.732</v>
      </c>
      <c r="I52" s="11" t="inlineStr">
        <is>
          <t>模型推算</t>
        </is>
      </c>
    </row>
    <row r="53">
      <c r="B53" s="5" t="inlineStr">
        <is>
          <t>E. 资本链 · 回报要求（门槛侧 + 估值）</t>
        </is>
      </c>
      <c r="C53" s="6" t="n"/>
      <c r="D53" s="6" t="n"/>
      <c r="E53" s="6" t="n"/>
      <c r="F53" s="6" t="n"/>
      <c r="G53" s="6" t="n"/>
      <c r="H53" s="6" t="n"/>
      <c r="I53" s="6" t="n"/>
    </row>
    <row r="54">
      <c r="A54" s="7" t="inlineStr">
        <is>
          <t>(a)</t>
        </is>
      </c>
      <c r="B54" s="22" t="inlineStr">
        <is>
          <t>装车电池（GWh）</t>
        </is>
      </c>
      <c r="C54" s="9">
        <f> 换电车辆 × 单车带电量 ÷ 100</f>
        <v/>
      </c>
      <c r="D54" s="23" t="n">
        <v>190</v>
      </c>
      <c r="E54" s="23" t="n">
        <v>70</v>
      </c>
      <c r="F54" s="23" t="n">
        <v>49</v>
      </c>
      <c r="G54" s="23" t="n">
        <v>81</v>
      </c>
      <c r="H54" s="23" t="n">
        <v>390</v>
      </c>
      <c r="I54" s="11" t="inlineStr">
        <is>
          <t>模型推算</t>
        </is>
      </c>
    </row>
    <row r="55">
      <c r="A55" s="7" t="inlineStr">
        <is>
          <t>(b)</t>
        </is>
      </c>
      <c r="B55" s="22" t="inlineStr">
        <is>
          <t>站内周转电池（GWh）</t>
        </is>
      </c>
      <c r="C55" s="9">
        <f> 站数 × 块数 × 单块电量 ÷ 1e6</f>
        <v/>
      </c>
      <c r="D55" s="23" t="n">
        <v>15</v>
      </c>
      <c r="E55" s="23" t="n">
        <v>0</v>
      </c>
      <c r="F55" s="23" t="n">
        <v>7</v>
      </c>
      <c r="G55" s="23" t="n">
        <v>0</v>
      </c>
      <c r="H55" s="23" t="n">
        <v>22</v>
      </c>
      <c r="I55" s="11" t="inlineStr">
        <is>
          <t>模型推算</t>
        </is>
      </c>
    </row>
    <row r="56">
      <c r="A56" s="12" t="inlineStr"/>
      <c r="B56" s="9" t="inlineStr">
        <is>
          <t>↳ 站数（座）</t>
        </is>
      </c>
      <c r="C56" s="9" t="inlineStr">
        <is>
          <t>§2.4 反推口径（城配并入乘用列、私家不新建）</t>
        </is>
      </c>
      <c r="D56" s="13" t="n">
        <v>3563</v>
      </c>
      <c r="E56" s="13" t="n">
        <v>0</v>
      </c>
      <c r="F56" s="13" t="n">
        <v>8902</v>
      </c>
      <c r="G56" s="13" t="n">
        <v>0</v>
      </c>
      <c r="H56" s="13" t="n">
        <v>12465</v>
      </c>
      <c r="I56" s="11" t="inlineStr">
        <is>
          <t>§2.4</t>
        </is>
      </c>
    </row>
    <row r="57">
      <c r="A57" s="12" t="inlineStr"/>
      <c r="B57" s="9" t="inlineStr">
        <is>
          <t>↳ 单站周转电池块数</t>
        </is>
      </c>
      <c r="C57" s="9" t="inlineStr">
        <is>
          <t>骐骥/巧克力标准站</t>
        </is>
      </c>
      <c r="D57" s="13" t="n">
        <v>24</v>
      </c>
      <c r="E57" s="13" t="n">
        <v>0</v>
      </c>
      <c r="F57" s="13" t="n">
        <v>14</v>
      </c>
      <c r="G57" s="13" t="n">
        <v>0</v>
      </c>
      <c r="H57" s="14" t="inlineStr">
        <is>
          <t>—</t>
        </is>
      </c>
      <c r="I57" s="11" t="inlineStr">
        <is>
          <t>工程参数</t>
        </is>
      </c>
    </row>
    <row r="58">
      <c r="A58" s="12" t="inlineStr"/>
      <c r="B58" s="9" t="inlineStr">
        <is>
          <t>↳ 单块带电量（kWh）</t>
        </is>
      </c>
      <c r="C58" s="9" t="inlineStr">
        <is>
          <t>骐骥/巧克力标准块</t>
        </is>
      </c>
      <c r="D58" s="13" t="n">
        <v>171</v>
      </c>
      <c r="E58" s="13" t="n">
        <v>0</v>
      </c>
      <c r="F58" s="13" t="n">
        <v>56</v>
      </c>
      <c r="G58" s="13" t="n">
        <v>0</v>
      </c>
      <c r="H58" s="14" t="inlineStr">
        <is>
          <t>—</t>
        </is>
      </c>
      <c r="I58" s="11" t="inlineStr">
        <is>
          <t>工程参数</t>
        </is>
      </c>
    </row>
    <row r="59">
      <c r="A59" s="7" t="inlineStr">
        <is>
          <t>(c)</t>
        </is>
      </c>
      <c r="B59" s="22" t="inlineStr">
        <is>
          <t>电池总装机（GWh）</t>
        </is>
      </c>
      <c r="C59" s="9">
        <f> (a) + (b)</f>
        <v/>
      </c>
      <c r="D59" s="23" t="n">
        <v>205</v>
      </c>
      <c r="E59" s="23" t="n">
        <v>70</v>
      </c>
      <c r="F59" s="23" t="n">
        <v>56</v>
      </c>
      <c r="G59" s="23" t="n">
        <v>81</v>
      </c>
      <c r="H59" s="23" t="n">
        <v>412</v>
      </c>
      <c r="I59" s="11" t="inlineStr">
        <is>
          <t>模型推算</t>
        </is>
      </c>
    </row>
    <row r="60">
      <c r="A60" s="7" t="inlineStr">
        <is>
          <t>(d)</t>
        </is>
      </c>
      <c r="B60" s="22" t="inlineStr">
        <is>
          <t>电池初装CAPEX（亿）</t>
        </is>
      </c>
      <c r="C60" s="9">
        <f> (c) × 度电成本 ÷ 100</f>
        <v/>
      </c>
      <c r="D60" s="23" t="n">
        <v>1207</v>
      </c>
      <c r="E60" s="23" t="n">
        <v>411</v>
      </c>
      <c r="F60" s="23" t="n">
        <v>332</v>
      </c>
      <c r="G60" s="23" t="n">
        <v>476</v>
      </c>
      <c r="H60" s="23" t="n">
        <v>2426</v>
      </c>
      <c r="I60" s="11" t="inlineStr">
        <is>
          <t>模型推算</t>
        </is>
      </c>
    </row>
    <row r="61">
      <c r="A61" s="12" t="inlineStr"/>
      <c r="B61" s="9" t="inlineStr">
        <is>
          <t>↳ 度电成本（元/kWh）</t>
        </is>
      </c>
      <c r="C61" s="9" t="inlineStr">
        <is>
          <t>§2.1</t>
        </is>
      </c>
      <c r="D61" s="13" t="n">
        <v>590</v>
      </c>
      <c r="E61" s="13" t="n">
        <v>590</v>
      </c>
      <c r="F61" s="13" t="n">
        <v>590</v>
      </c>
      <c r="G61" s="13" t="n">
        <v>590</v>
      </c>
      <c r="H61" s="14" t="inlineStr">
        <is>
          <t>—</t>
        </is>
      </c>
      <c r="I61" s="11" t="inlineStr">
        <is>
          <t>§2.1</t>
        </is>
      </c>
    </row>
    <row r="62">
      <c r="A62" s="7" t="inlineStr">
        <is>
          <t>(e)</t>
        </is>
      </c>
      <c r="B62" s="22" t="inlineStr">
        <is>
          <t>站体CAPEX（亿）</t>
        </is>
      </c>
      <c r="C62" s="9">
        <f> 站数 × 单站投资额 ÷ 1e4</f>
        <v/>
      </c>
      <c r="D62" s="23" t="n">
        <v>178</v>
      </c>
      <c r="E62" s="23" t="n">
        <v>0</v>
      </c>
      <c r="F62" s="23" t="n">
        <v>178</v>
      </c>
      <c r="G62" s="23" t="n">
        <v>0</v>
      </c>
      <c r="H62" s="23" t="n">
        <v>356</v>
      </c>
      <c r="I62" s="11" t="inlineStr">
        <is>
          <t>模型推算</t>
        </is>
      </c>
    </row>
    <row r="63">
      <c r="A63" s="12" t="inlineStr"/>
      <c r="B63" s="9" t="inlineStr">
        <is>
          <t>↳ 单站投资额（万/座）</t>
        </is>
      </c>
      <c r="C63" s="9" t="inlineStr">
        <is>
          <t>§2.1</t>
        </is>
      </c>
      <c r="D63" s="13" t="n">
        <v>500</v>
      </c>
      <c r="E63" s="13" t="n">
        <v>0</v>
      </c>
      <c r="F63" s="13" t="n">
        <v>200</v>
      </c>
      <c r="G63" s="13" t="n">
        <v>0</v>
      </c>
      <c r="H63" s="14" t="inlineStr">
        <is>
          <t>—</t>
        </is>
      </c>
      <c r="I63" s="11" t="inlineStr">
        <is>
          <t>§2.1</t>
        </is>
      </c>
    </row>
    <row r="64">
      <c r="A64" s="7" t="inlineStr">
        <is>
          <t>(f)</t>
        </is>
      </c>
      <c r="B64" s="22" t="inlineStr">
        <is>
          <t>初装CAPEX合计（亿）</t>
        </is>
      </c>
      <c r="C64" s="9">
        <f> (d) + (e)</f>
        <v/>
      </c>
      <c r="D64" s="23" t="n">
        <v>1385</v>
      </c>
      <c r="E64" s="23" t="n">
        <v>411</v>
      </c>
      <c r="F64" s="23" t="n">
        <v>510</v>
      </c>
      <c r="G64" s="23" t="n">
        <v>476</v>
      </c>
      <c r="H64" s="23" t="n">
        <v>2782</v>
      </c>
      <c r="I64" s="11" t="inlineStr">
        <is>
          <t>模型推算</t>
        </is>
      </c>
    </row>
    <row r="65">
      <c r="A65" s="7" t="inlineStr">
        <is>
          <t>(g)</t>
        </is>
      </c>
      <c r="B65" s="22" t="inlineStr">
        <is>
          <t>EAC 放大倍数</t>
        </is>
      </c>
      <c r="C65" s="9">
        <f> 1 + 净重置比例（§1.2.1）</f>
        <v/>
      </c>
      <c r="D65" s="23" t="n">
        <v>1.46</v>
      </c>
      <c r="E65" s="23" t="n">
        <v>1.78</v>
      </c>
      <c r="F65" s="23" t="n">
        <v>1.78</v>
      </c>
      <c r="G65" s="23" t="n">
        <v>1.21</v>
      </c>
      <c r="H65" s="24" t="inlineStr">
        <is>
          <t>—</t>
        </is>
      </c>
      <c r="I65" s="11" t="inlineStr">
        <is>
          <t>§1.2.1</t>
        </is>
      </c>
    </row>
    <row r="66">
      <c r="A66" s="7" t="inlineStr">
        <is>
          <t>(h)</t>
        </is>
      </c>
      <c r="B66" s="22" t="inlineStr">
        <is>
          <t>全周期CAPEX现值（亿）</t>
        </is>
      </c>
      <c r="C66" s="9">
        <f> (d)×(g) + (e)（站体不重置）</f>
        <v/>
      </c>
      <c r="D66" s="23" t="n">
        <v>1941</v>
      </c>
      <c r="E66" s="23" t="n">
        <v>731</v>
      </c>
      <c r="F66" s="23" t="n">
        <v>767</v>
      </c>
      <c r="G66" s="23" t="n">
        <v>576</v>
      </c>
      <c r="H66" s="23" t="n">
        <v>4015</v>
      </c>
      <c r="I66" s="11" t="inlineStr">
        <is>
          <t>模型推算</t>
        </is>
      </c>
    </row>
    <row r="67">
      <c r="A67" s="7" t="inlineStr"/>
      <c r="B67" s="22" t="inlineStr">
        <is>
          <t>债务（亿）</t>
        </is>
      </c>
      <c r="C67" s="9">
        <f> (h) × 60%（股40%+债60%）</f>
        <v/>
      </c>
      <c r="D67" s="23" t="n">
        <v>1164</v>
      </c>
      <c r="E67" s="23" t="n">
        <v>439</v>
      </c>
      <c r="F67" s="23" t="n">
        <v>460</v>
      </c>
      <c r="G67" s="23" t="n">
        <v>345</v>
      </c>
      <c r="H67" s="23" t="n">
        <v>2409</v>
      </c>
      <c r="I67" s="11" t="inlineStr">
        <is>
          <t>资本结构</t>
        </is>
      </c>
    </row>
    <row r="68">
      <c r="A68" s="7" t="inlineStr"/>
      <c r="B68" s="22" t="inlineStr">
        <is>
          <t>股权（亿）</t>
        </is>
      </c>
      <c r="C68" s="9">
        <f> (h) × 40%</f>
        <v/>
      </c>
      <c r="D68" s="23" t="n">
        <v>776</v>
      </c>
      <c r="E68" s="23" t="n">
        <v>292</v>
      </c>
      <c r="F68" s="23" t="n">
        <v>307</v>
      </c>
      <c r="G68" s="23" t="n">
        <v>230</v>
      </c>
      <c r="H68" s="23" t="n">
        <v>1606</v>
      </c>
      <c r="I68" s="11" t="inlineStr">
        <is>
          <t>资本结构</t>
        </is>
      </c>
    </row>
    <row r="69">
      <c r="A69" s="7" t="inlineStr">
        <is>
          <t>①</t>
        </is>
      </c>
      <c r="B69" s="22" t="inlineStr">
        <is>
          <t>年 FCFF（亿）</t>
        </is>
      </c>
      <c r="C69" s="9">
        <f> (h) × CRF（资本端要求锚）</f>
        <v/>
      </c>
      <c r="D69" s="23" t="n">
        <v>291</v>
      </c>
      <c r="E69" s="23" t="n">
        <v>110</v>
      </c>
      <c r="F69" s="23" t="n">
        <v>115</v>
      </c>
      <c r="G69" s="23" t="n">
        <v>86</v>
      </c>
      <c r="H69" s="23" t="n">
        <v>602</v>
      </c>
      <c r="I69" s="11" t="inlineStr">
        <is>
          <t>模型推算</t>
        </is>
      </c>
    </row>
    <row r="70">
      <c r="A70" s="7" t="inlineStr">
        <is>
          <t>②</t>
        </is>
      </c>
      <c r="B70" s="22" t="inlineStr">
        <is>
          <t>年折旧（亿）</t>
        </is>
      </c>
      <c r="C70" s="9">
        <f> 电池折旧基数 ÷ 电池寿命 + 站体(e)÷15</f>
        <v/>
      </c>
      <c r="D70" s="23" t="n">
        <v>251</v>
      </c>
      <c r="E70" s="23" t="n">
        <v>157</v>
      </c>
      <c r="F70" s="23" t="n">
        <v>138</v>
      </c>
      <c r="G70" s="23" t="n">
        <v>110</v>
      </c>
      <c r="H70" s="23" t="n">
        <v>656</v>
      </c>
      <c r="I70" s="11" t="inlineStr">
        <is>
          <t>模型推算</t>
        </is>
      </c>
    </row>
    <row r="71">
      <c r="A71" s="12" t="inlineStr"/>
      <c r="B71" s="9" t="inlineStr">
        <is>
          <t>↳ 电池寿命（年）</t>
        </is>
      </c>
      <c r="C71" s="9" t="inlineStr">
        <is>
          <t>§1.2.1 三类寿命</t>
        </is>
      </c>
      <c r="D71" s="13" t="n">
        <v>5.7</v>
      </c>
      <c r="E71" s="13" t="n">
        <v>3.8</v>
      </c>
      <c r="F71" s="13" t="n">
        <v>3.8</v>
      </c>
      <c r="G71" s="13" t="n">
        <v>10</v>
      </c>
      <c r="H71" s="14" t="inlineStr">
        <is>
          <t>—</t>
        </is>
      </c>
      <c r="I71" s="11" t="inlineStr">
        <is>
          <t>§1.2.1</t>
        </is>
      </c>
    </row>
    <row r="72">
      <c r="A72" s="12" t="inlineStr"/>
      <c r="B72" s="9" t="inlineStr">
        <is>
          <t>↳ 电池折旧基数（亿）</t>
        </is>
      </c>
      <c r="C72" s="9">
        <f> (d) × (g − 期末残值率)</f>
        <v/>
      </c>
      <c r="D72" s="13" t="n">
        <v>1365</v>
      </c>
      <c r="E72" s="13" t="n">
        <v>596</v>
      </c>
      <c r="F72" s="13" t="n">
        <v>481</v>
      </c>
      <c r="G72" s="13" t="n">
        <v>419</v>
      </c>
      <c r="H72" s="13" t="n">
        <v>2861</v>
      </c>
      <c r="I72" s="11" t="inlineStr">
        <is>
          <t>模型推算</t>
        </is>
      </c>
    </row>
    <row r="73">
      <c r="A73" s="12" t="inlineStr"/>
      <c r="B73" s="9" t="inlineStr">
        <is>
          <t>↳ 期末残值率</t>
        </is>
      </c>
      <c r="C73" s="9" t="inlineStr">
        <is>
          <t>电池价格变动计算</t>
        </is>
      </c>
      <c r="D73" s="13" t="n">
        <v>0.329</v>
      </c>
      <c r="E73" s="13" t="n">
        <v>0.329</v>
      </c>
      <c r="F73" s="13" t="n">
        <v>0.329</v>
      </c>
      <c r="G73" s="13" t="n">
        <v>0.317</v>
      </c>
      <c r="H73" s="14" t="inlineStr">
        <is>
          <t>—</t>
        </is>
      </c>
      <c r="I73" s="11" t="inlineStr">
        <is>
          <t>模型推算</t>
        </is>
      </c>
    </row>
    <row r="74">
      <c r="A74" s="7" t="inlineStr">
        <is>
          <t>③</t>
        </is>
      </c>
      <c r="B74" s="22" t="inlineStr">
        <is>
          <t>年门槛EBITDA（亿）</t>
        </is>
      </c>
      <c r="C74" s="9">
        <f> (h) × EBITDA/CAPEX（满足15%回报的最低要求）</f>
        <v/>
      </c>
      <c r="D74" s="23" t="n">
        <v>304</v>
      </c>
      <c r="E74" s="23" t="n">
        <v>94</v>
      </c>
      <c r="F74" s="23" t="n">
        <v>107</v>
      </c>
      <c r="G74" s="23" t="n">
        <v>78</v>
      </c>
      <c r="H74" s="23" t="n">
        <v>583</v>
      </c>
      <c r="I74" s="11" t="inlineStr">
        <is>
          <t>模型推算</t>
        </is>
      </c>
    </row>
    <row r="75">
      <c r="A75" s="12" t="inlineStr"/>
      <c r="B75" s="9" t="inlineStr">
        <is>
          <t>↳ EBITDA/CAPEX</t>
        </is>
      </c>
      <c r="C75" s="9">
        <f> CRF/(1−t) − 折旧系数×t/(1−t)</f>
        <v/>
      </c>
      <c r="D75" s="13" t="n">
        <v>0.157</v>
      </c>
      <c r="E75" s="13" t="n">
        <v>0.128</v>
      </c>
      <c r="F75" s="13" t="n">
        <v>0.14</v>
      </c>
      <c r="G75" s="13" t="n">
        <v>0.136</v>
      </c>
      <c r="H75" s="14" t="inlineStr">
        <is>
          <t>—</t>
        </is>
      </c>
      <c r="I75" s="11" t="inlineStr">
        <is>
          <t>模型推算</t>
        </is>
      </c>
    </row>
    <row r="76">
      <c r="A76" s="12" t="inlineStr"/>
      <c r="B76" s="9" t="inlineStr">
        <is>
          <t>↳ CRF</t>
        </is>
      </c>
      <c r="C76" s="9" t="inlineStr">
        <is>
          <t>期望收益率 10~15% 中值</t>
        </is>
      </c>
      <c r="D76" s="13" t="n">
        <v>0.15</v>
      </c>
      <c r="E76" s="13" t="n">
        <v>0.15</v>
      </c>
      <c r="F76" s="13" t="n">
        <v>0.15</v>
      </c>
      <c r="G76" s="13" t="n">
        <v>0.15</v>
      </c>
      <c r="H76" s="14" t="inlineStr">
        <is>
          <t>—</t>
        </is>
      </c>
      <c r="I76" s="11" t="inlineStr">
        <is>
          <t>§1.2.2</t>
        </is>
      </c>
    </row>
    <row r="77">
      <c r="A77" s="7" t="inlineStr">
        <is>
          <t>④</t>
        </is>
      </c>
      <c r="B77" s="22" t="inlineStr">
        <is>
          <t>年可分配现金（亿）</t>
        </is>
      </c>
      <c r="C77" s="9">
        <f> ①FCFF − 债务年息</f>
        <v/>
      </c>
      <c r="D77" s="23" t="n">
        <v>262</v>
      </c>
      <c r="E77" s="23" t="n">
        <v>99</v>
      </c>
      <c r="F77" s="23" t="n">
        <v>104</v>
      </c>
      <c r="G77" s="23" t="n">
        <v>77</v>
      </c>
      <c r="H77" s="23" t="n">
        <v>537</v>
      </c>
      <c r="I77" s="11" t="inlineStr">
        <is>
          <t>模型推算</t>
        </is>
      </c>
    </row>
    <row r="78">
      <c r="A78" s="12" t="inlineStr"/>
      <c r="B78" s="9" t="inlineStr">
        <is>
          <t>↳ 债务年息（亿）</t>
        </is>
      </c>
      <c r="C78" s="9">
        <f> 债务 × 2.5%（绿债低位）</f>
        <v/>
      </c>
      <c r="D78" s="13" t="n">
        <v>29</v>
      </c>
      <c r="E78" s="13" t="n">
        <v>11</v>
      </c>
      <c r="F78" s="13" t="n">
        <v>11</v>
      </c>
      <c r="G78" s="13" t="n">
        <v>9</v>
      </c>
      <c r="H78" s="13" t="n">
        <v>60</v>
      </c>
      <c r="I78" s="11" t="inlineStr">
        <is>
          <t>绿债低位</t>
        </is>
      </c>
    </row>
    <row r="79">
      <c r="A79" s="7" t="inlineStr">
        <is>
          <t>⑤</t>
        </is>
      </c>
      <c r="B79" s="22" t="inlineStr">
        <is>
          <t>整体 EV（亿）</t>
        </is>
      </c>
      <c r="C79" s="9">
        <f> ③ × EV/EBITDA</f>
        <v/>
      </c>
      <c r="D79" s="23" t="n">
        <v>5478</v>
      </c>
      <c r="E79" s="23" t="n">
        <v>1691</v>
      </c>
      <c r="F79" s="23" t="n">
        <v>1931</v>
      </c>
      <c r="G79" s="23" t="n">
        <v>1411</v>
      </c>
      <c r="H79" s="23" t="n">
        <v>10494</v>
      </c>
      <c r="I79" s="11" t="inlineStr">
        <is>
          <t>模型推算</t>
        </is>
      </c>
    </row>
    <row r="80">
      <c r="A80" s="12" t="inlineStr"/>
      <c r="B80" s="9" t="inlineStr">
        <is>
          <t>↳ EV/EBITDA 倍数</t>
        </is>
      </c>
      <c r="C80" s="9" t="inlineStr">
        <is>
          <t>中枢（依据 §4.2）</t>
        </is>
      </c>
      <c r="D80" s="13" t="n">
        <v>18</v>
      </c>
      <c r="E80" s="13" t="n">
        <v>18</v>
      </c>
      <c r="F80" s="13" t="n">
        <v>18</v>
      </c>
      <c r="G80" s="13" t="n">
        <v>18</v>
      </c>
      <c r="H80" s="14" t="inlineStr">
        <is>
          <t>—</t>
        </is>
      </c>
      <c r="I80" s="11" t="inlineStr">
        <is>
          <t>§4.2</t>
        </is>
      </c>
    </row>
    <row r="81">
      <c r="A81" s="7" t="inlineStr">
        <is>
          <t>⑥</t>
        </is>
      </c>
      <c r="B81" s="22" t="inlineStr">
        <is>
          <t>股权 Eq（亿）</t>
        </is>
      </c>
      <c r="C81" s="9">
        <f> ⑤EV − 债务</f>
        <v/>
      </c>
      <c r="D81" s="23" t="n">
        <v>4314</v>
      </c>
      <c r="E81" s="23" t="n">
        <v>1252</v>
      </c>
      <c r="F81" s="23" t="n">
        <v>1471</v>
      </c>
      <c r="G81" s="23" t="n">
        <v>1066</v>
      </c>
      <c r="H81" s="23" t="n">
        <v>8085</v>
      </c>
      <c r="I81" s="11" t="inlineStr">
        <is>
          <t>模型推算</t>
        </is>
      </c>
    </row>
    <row r="82">
      <c r="A82" s="7" t="inlineStr">
        <is>
          <t>⑦</t>
        </is>
      </c>
      <c r="B82" s="22" t="inlineStr">
        <is>
          <t>宁德估值贡献（亿）</t>
        </is>
      </c>
      <c r="C82" s="9">
        <f> ⑥ × 40%</f>
        <v/>
      </c>
      <c r="D82" s="23" t="n">
        <v>1726</v>
      </c>
      <c r="E82" s="23" t="n">
        <v>501</v>
      </c>
      <c r="F82" s="23" t="n">
        <v>588</v>
      </c>
      <c r="G82" s="23" t="n">
        <v>426</v>
      </c>
      <c r="H82" s="23" t="n">
        <v>3234</v>
      </c>
      <c r="I82" s="11" t="inlineStr">
        <is>
          <t>模型推算</t>
        </is>
      </c>
    </row>
    <row r="83">
      <c r="A83" s="7" t="inlineStr">
        <is>
          <t>⑧</t>
        </is>
      </c>
      <c r="B83" s="22" t="inlineStr">
        <is>
          <t>宁德年可分现金（亿）</t>
        </is>
      </c>
      <c r="C83" s="9">
        <f> ④ × 40%</f>
        <v/>
      </c>
      <c r="D83" s="23" t="n">
        <v>105</v>
      </c>
      <c r="E83" s="23" t="n">
        <v>39</v>
      </c>
      <c r="F83" s="23" t="n">
        <v>41</v>
      </c>
      <c r="G83" s="23" t="n">
        <v>31</v>
      </c>
      <c r="H83" s="23" t="n">
        <v>215</v>
      </c>
      <c r="I83" s="11" t="inlineStr">
        <is>
          <t>模型推算</t>
        </is>
      </c>
    </row>
    <row r="84">
      <c r="A84" s="12" t="inlineStr"/>
      <c r="B84" s="9" t="inlineStr">
        <is>
          <t>↳ 宁德回收期（年，初装）</t>
        </is>
      </c>
      <c r="C84" s="9">
        <f> 股权初始出资 ÷ ⑧</f>
        <v/>
      </c>
      <c r="D84" s="13" t="n">
        <v>2.1</v>
      </c>
      <c r="E84" s="13" t="n">
        <v>1.7</v>
      </c>
      <c r="F84" s="13" t="n">
        <v>2</v>
      </c>
      <c r="G84" s="13" t="n">
        <v>2.5</v>
      </c>
      <c r="H84" s="13" t="n">
        <v>2</v>
      </c>
      <c r="I84" s="11" t="inlineStr">
        <is>
          <t>模型推算</t>
        </is>
      </c>
    </row>
    <row r="85">
      <c r="A85" s="12" t="inlineStr"/>
      <c r="B85" s="9" t="inlineStr">
        <is>
          <t>↳ 全投资回收期（年）</t>
        </is>
      </c>
      <c r="C85" s="9">
        <f> 股权全投资 ÷ ⑧</f>
        <v/>
      </c>
      <c r="D85" s="13" t="n">
        <v>3</v>
      </c>
      <c r="E85" s="13" t="n">
        <v>3</v>
      </c>
      <c r="F85" s="13" t="n">
        <v>3</v>
      </c>
      <c r="G85" s="13" t="n">
        <v>3</v>
      </c>
      <c r="H85" s="13" t="n">
        <v>3</v>
      </c>
      <c r="I85" s="11" t="inlineStr">
        <is>
          <t>模型推算</t>
        </is>
      </c>
    </row>
    <row r="86">
      <c r="B86" s="5" t="inlineStr">
        <is>
          <t>F. 决策结论 · 安全边际与估值贡献</t>
        </is>
      </c>
      <c r="C86" s="6" t="n"/>
      <c r="D86" s="6" t="n"/>
      <c r="E86" s="6" t="n"/>
      <c r="F86" s="6" t="n"/>
      <c r="G86" s="6" t="n"/>
      <c r="H86" s="6" t="n"/>
      <c r="I86" s="6" t="n"/>
    </row>
    <row r="87">
      <c r="A87" s="7" t="inlineStr"/>
      <c r="B87" s="25" t="inlineStr">
        <is>
          <t>安全边际（可交付÷门槛）</t>
        </is>
      </c>
      <c r="C87" s="9">
        <f> ⑬可交付EBITDA ÷ ③门槛EBITDA（&gt;1 即达标）</f>
        <v/>
      </c>
      <c r="D87" s="26" t="n">
        <v>1.732</v>
      </c>
      <c r="E87" s="26" t="n">
        <v>1.319</v>
      </c>
      <c r="F87" s="26" t="n">
        <v>0.523</v>
      </c>
      <c r="G87" s="26" t="n">
        <v>1.423</v>
      </c>
      <c r="H87" s="26" t="n">
        <v>1.381</v>
      </c>
      <c r="I87" s="11" t="inlineStr">
        <is>
          <t>模型推算（&gt;1 安全）</t>
        </is>
      </c>
    </row>
    <row r="88">
      <c r="A88" s="7" t="inlineStr"/>
      <c r="B88" s="25" t="inlineStr">
        <is>
          <t>宁德估值贡献（亿）</t>
        </is>
      </c>
      <c r="C88" s="9">
        <f> 资本链⑦（占集团市值 ~16%）</f>
        <v/>
      </c>
      <c r="D88" s="27" t="inlineStr">
        <is>
          <t>—</t>
        </is>
      </c>
      <c r="E88" s="27" t="inlineStr">
        <is>
          <t>—</t>
        </is>
      </c>
      <c r="F88" s="27" t="inlineStr">
        <is>
          <t>—</t>
        </is>
      </c>
      <c r="G88" s="27" t="inlineStr">
        <is>
          <t>—</t>
        </is>
      </c>
      <c r="H88" s="26" t="n">
        <v>3234</v>
      </c>
      <c r="I88" s="11" t="inlineStr">
        <is>
          <t>资本链 + 集团市值</t>
        </is>
      </c>
    </row>
    <row r="89">
      <c r="A89" s="7" t="inlineStr"/>
      <c r="B89" s="25" t="inlineStr">
        <is>
          <t>增量价值 / 集团市值</t>
        </is>
      </c>
      <c r="C89" s="9">
        <f> 换电增量价值 ÷ 集团市值（SOTP §3.4）</f>
        <v/>
      </c>
      <c r="D89" s="27" t="inlineStr">
        <is>
          <t>—</t>
        </is>
      </c>
      <c r="E89" s="27" t="inlineStr">
        <is>
          <t>—</t>
        </is>
      </c>
      <c r="F89" s="27" t="inlineStr">
        <is>
          <t>—</t>
        </is>
      </c>
      <c r="G89" s="27" t="inlineStr">
        <is>
          <t>—</t>
        </is>
      </c>
      <c r="H89" s="26" t="n">
        <v>0.28</v>
      </c>
      <c r="I89" s="11" t="inlineStr">
        <is>
          <t>SOTP（§3.4）</t>
        </is>
      </c>
    </row>
    <row r="90">
      <c r="A90" s="7" t="inlineStr"/>
      <c r="B90" s="25" t="inlineStr">
        <is>
          <t>结论</t>
        </is>
      </c>
      <c r="C90" s="9" t="inlineStr">
        <is>
          <t>营运车安全边际&gt;1；私家≈1.4；乘用营运 0.52 偏弱需观察；整体增量占市值~28%</t>
        </is>
      </c>
      <c r="D90" s="27" t="inlineStr">
        <is>
          <t>—</t>
        </is>
      </c>
      <c r="E90" s="27" t="inlineStr">
        <is>
          <t>—</t>
        </is>
      </c>
      <c r="F90" s="27" t="inlineStr">
        <is>
          <t>—</t>
        </is>
      </c>
      <c r="G90" s="27" t="inlineStr">
        <is>
          <t>—</t>
        </is>
      </c>
      <c r="H90" s="27" t="inlineStr">
        <is>
          <t>—</t>
        </is>
      </c>
      <c r="I90" s="11" t="inlineStr">
        <is>
          <t>综合研判</t>
        </is>
      </c>
    </row>
  </sheetData>
  <mergeCells count="10">
    <mergeCell ref="B53:I53"/>
    <mergeCell ref="A2:I2"/>
    <mergeCell ref="B86:I86"/>
    <mergeCell ref="B7:I7"/>
    <mergeCell ref="A1:I1"/>
    <mergeCell ref="B14:I14"/>
    <mergeCell ref="A3:I3"/>
    <mergeCell ref="B37:I37"/>
    <mergeCell ref="A4:I4"/>
    <mergeCell ref="B50:I50"/>
  </mergeCells>
  <hyperlinks>
    <hyperlink xmlns:r="http://schemas.openxmlformats.org/officeDocument/2006/relationships" ref="I23" r:id="rId1"/>
    <hyperlink xmlns:r="http://schemas.openxmlformats.org/officeDocument/2006/relationships" ref="I29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1" t="inlineStr">
        <is>
          <t>信源索引（可点击链接）</t>
        </is>
      </c>
    </row>
    <row r="2">
      <c r="A2" s="28" t="inlineStr">
        <is>
          <t>编号/指标</t>
        </is>
      </c>
      <c r="B2" s="28" t="inlineStr">
        <is>
          <t>信源说明</t>
        </is>
      </c>
      <c r="C2" s="28" t="inlineStr">
        <is>
          <t>链接</t>
        </is>
      </c>
    </row>
    <row r="3">
      <c r="A3" s="29" t="inlineStr">
        <is>
          <t>↳ 容量补偿单价（元/kW·年）</t>
        </is>
      </c>
      <c r="B3" s="29" t="inlineStr">
        <is>
          <t>广东容量补偿解读</t>
        </is>
      </c>
      <c r="C3" s="30" t="inlineStr">
        <is>
          <t>https://baijiahao.baidu.com/s?id=1870768882039945069</t>
        </is>
      </c>
    </row>
    <row r="4">
      <c r="A4" s="29" t="inlineStr">
        <is>
          <t>↳ 电量单价（元/kWh）</t>
        </is>
      </c>
      <c r="B4" s="29" t="inlineStr">
        <is>
          <t>浙江两部制/广东2.0</t>
        </is>
      </c>
      <c r="C4" s="30" t="inlineStr">
        <is>
          <t>https://news.bjx.com.cn/html/20250606/1445190.shtml</t>
        </is>
      </c>
    </row>
    <row r="5">
      <c r="A5" s="29" t="inlineStr">
        <is>
          <t>↳ 单次成本（元/次）</t>
        </is>
      </c>
      <c r="B5" s="29" t="inlineStr">
        <is>
          <t>能量维度②</t>
        </is>
      </c>
      <c r="C5" s="29" t="inlineStr">
        <is>
          <t>换电框架-能量维度.md</t>
        </is>
      </c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2026-09-01T04:34:13Z</dcterms:created>
  <dcterms:modified xsi:type="dcterms:W3CDTF">2026-09-01T04:34:13Z</dcterms:modified>
</cp:coreProperties>
</file>