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证券投资\投研\能源\宁德时代\业务\换电\定性分析\"/>
    </mc:Choice>
  </mc:AlternateContent>
  <bookViews>
    <workbookView windowWidth="24551" windowHeight="13380"/>
  </bookViews>
  <sheets>
    <sheet name="换电规模测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<sst xmlns="http://schemas.openxmlformats.org/spreadsheetml/2006/main" count="70" uniqueCount="49">
  <si>
    <t>城配物流换电规模测算(从存量倒算·v3)</t>
  </si>
  <si>
    <t>数据项</t>
  </si>
  <si>
    <t>公式 / 计算逻辑</t>
  </si>
  <si>
    <t>单位</t>
  </si>
  <si>
    <t>数值</t>
  </si>
  <si>
    <t>数据来源 / 备注</t>
  </si>
  <si>
    <t>总换电装机规模</t>
  </si>
  <si>
    <t>存量换电规模+增量换电规模</t>
  </si>
  <si>
    <t>万kWh</t>
  </si>
  <si>
    <t/>
  </si>
  <si>
    <t>总换电车辆规模</t>
  </si>
  <si>
    <t>城配NEV存量车辆数+城配NEV增量车辆数</t>
  </si>
  <si>
    <t>万辆</t>
  </si>
  <si>
    <t>存量换电装机规模(2025已售)</t>
  </si>
  <si>
    <t>单车带电量 × 城配NEV存量车辆数</t>
  </si>
  <si>
    <t>▸ 单车带电量(换电版)</t>
  </si>
  <si>
    <t>手动输入(江淮81度换电版)</t>
  </si>
  <si>
    <t>kWh</t>
  </si>
  <si>
    <t>江淮EV5/恺达EX6 81kWh换电版, 比特auto 2026-06</t>
  </si>
  <si>
    <t>▸ 城配NEV存量车辆数</t>
  </si>
  <si>
    <t>城配轻商EV保有 × 换电渗透(里程&gt;250km高频子集) × CATL市占</t>
  </si>
  <si>
    <t>换电渗透20-25%来自里程分布+经济阈值(国金证券2018/卡车之家2026-02)</t>
  </si>
  <si>
    <t xml:space="preserve">    └ 城配轻商EV保有(2025)</t>
  </si>
  <si>
    <t>城配轻商年销量 × 更新周期</t>
  </si>
  <si>
    <t>中汽协: 轻卡+微卡+轻客营运类→保有</t>
  </si>
  <si>
    <t xml:space="preserve">    └ 换电渗透(存量)</t>
  </si>
  <si>
    <t>手动输入(高频子场景)</t>
  </si>
  <si>
    <t>%</t>
  </si>
  <si>
    <t>城配&gt;250km高频子集20-25%(超换一体.md §五)</t>
  </si>
  <si>
    <t xml:space="preserve">    └ CATL市占(城配换电)</t>
  </si>
  <si>
    <t>手动输入</t>
  </si>
  <si>
    <t>巧克力换电轻卡江淮主导, 宁德供电池~40%</t>
  </si>
  <si>
    <t>增量换电装机规模(2026-2030新车)</t>
  </si>
  <si>
    <t>单车带电量 × 城配NEV增量车辆数</t>
  </si>
  <si>
    <t>▸ 单车带电量(增量)</t>
  </si>
  <si>
    <t>同存量</t>
  </si>
  <si>
    <t>▸ 城配NEV增量车辆数</t>
  </si>
  <si>
    <t>城配轻商总销量 × NEV渗透 × 换电渗透 × CATL市占</t>
  </si>
  <si>
    <t xml:space="preserve">  └ 城配轻商总销量(2026-2030)</t>
  </si>
  <si>
    <t>年销量 × 5年</t>
  </si>
  <si>
    <t xml:space="preserve">    └ 年销量(城配轻商)</t>
  </si>
  <si>
    <t>中汽协轻卡+微卡+轻客营运类, 取2025约34万/年(商用车销量结构)</t>
  </si>
  <si>
    <t xml:space="preserve">    └ 更新周期</t>
  </si>
  <si>
    <t>年</t>
  </si>
  <si>
    <t>轻商更新周期8年</t>
  </si>
  <si>
    <t xml:space="preserve">  └ NEV平均渗透(2026-2030)</t>
  </si>
  <si>
    <t>手动输入(拐点后加速)</t>
  </si>
  <si>
    <t>轻卡电动化2025约10%, 复制乘用车"10%后加速"(摩根士丹利2025-08)</t>
  </si>
  <si>
    <t xml:space="preserve">  └ 换电渗透(增量)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</si>
</sst>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A17" sqref="$A17:$XFD17"/>
    </sheetView>
  </sheetViews>
  <sheetFormatPr defaultColWidth="9" defaultRowHeight="14.4" outlineLevelCol="4"/>
  <cols>
    <col min="1" max="1" width="36.1111111111111" customWidth="1"/>
    <col min="2" max="2" width="59.8888888888889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f>D5*D9</f>
        <v>0</v>
      </c>
      <c r="E3" t="s">
        <v>9</v>
      </c>
    </row>
    <row r="5" spans="1:5">
      <c r="A5" t="s">
        <v>10</v>
      </c>
      <c r="B5" t="s">
        <v>11</v>
      </c>
      <c r="C5" t="s">
        <v>12</v>
      </c>
      <c r="D5">
        <f>D11+D23</f>
        <v>0</v>
      </c>
      <c r="E5" t="s">
        <v>9</v>
      </c>
    </row>
    <row r="7" spans="1:5">
      <c r="A7" t="s">
        <v>13</v>
      </c>
      <c r="B7" t="s">
        <v>14</v>
      </c>
      <c r="C7" t="s">
        <v>8</v>
      </c>
      <c r="D7">
        <f>D9*D11</f>
        <v>0</v>
      </c>
      <c r="E7" t="s">
        <v>9</v>
      </c>
    </row>
    <row r="9" spans="1:5">
      <c r="A9" t="s">
        <v>15</v>
      </c>
      <c r="B9" t="s">
        <v>16</v>
      </c>
      <c r="C9" t="s">
        <v>17</v>
      </c>
      <c r="D9">
        <v>81</v>
      </c>
      <c r="E9" t="s">
        <v>18</v>
      </c>
    </row>
    <row r="11" spans="1:5">
      <c r="A11" t="s">
        <v>19</v>
      </c>
      <c r="B11" t="s">
        <v>20</v>
      </c>
      <c r="C11" t="s">
        <v>12</v>
      </c>
      <c r="D11">
        <f>D13*D15*D17</f>
        <v>0</v>
      </c>
      <c r="E11" t="s">
        <v>21</v>
      </c>
    </row>
    <row r="13" spans="1:5">
      <c r="A13" t="s">
        <v>22</v>
      </c>
      <c r="B13" t="s">
        <v>23</v>
      </c>
      <c r="C13" t="s">
        <v>12</v>
      </c>
      <c r="D13"/>
      <c r="E13" t="s">
        <v>24</v>
      </c>
    </row>
    <row r="15" spans="1:5">
      <c r="A15" t="s">
        <v>25</v>
      </c>
      <c r="B15" t="s">
        <v>26</v>
      </c>
      <c r="C15" t="s">
        <v>27</v>
      </c>
      <c r="D15">
        <v>0.225</v>
      </c>
      <c r="E15" t="s">
        <v>28</v>
      </c>
    </row>
    <row r="17" spans="1:5">
      <c r="A17" t="s">
        <v>29</v>
      </c>
      <c r="B17" t="s">
        <v>30</v>
      </c>
      <c r="C17" t="s">
        <v>27</v>
      </c>
      <c r="D17">
        <v>0.4</v>
      </c>
      <c r="E17" t="s">
        <v>31</v>
      </c>
    </row>
    <row r="19" spans="1:5">
      <c r="A19" t="s">
        <v>32</v>
      </c>
      <c r="B19" t="s">
        <v>33</v>
      </c>
      <c r="C19" t="s">
        <v>8</v>
      </c>
      <c r="D19">
        <f>D21*D23</f>
        <v>0</v>
      </c>
      <c r="E19" t="s">
        <v>9</v>
      </c>
    </row>
    <row r="21" spans="1:5">
      <c r="A21" t="s">
        <v>34</v>
      </c>
      <c r="B21" t="s">
        <v>30</v>
      </c>
      <c r="C21" t="s">
        <v>17</v>
      </c>
      <c r="D21">
        <v>81</v>
      </c>
      <c r="E21" t="s">
        <v>35</v>
      </c>
    </row>
    <row r="23" spans="1:5">
      <c r="A23" t="s">
        <v>36</v>
      </c>
      <c r="B23" t="s">
        <v>37</v>
      </c>
      <c r="C23" t="s">
        <v>12</v>
      </c>
      <c r="D23">
        <f>ROUND(D14*D17*D18*D10,0)</f>
        <v>0</v>
      </c>
      <c r="E23" t="s">
        <v>9</v>
      </c>
    </row>
    <row r="25" spans="1:5">
      <c r="A25" t="s">
        <v>38</v>
      </c>
      <c r="B25" t="s">
        <v>39</v>
      </c>
      <c r="C25" t="s">
        <v>12</v>
      </c>
      <c r="D25">
        <f>D15*5</f>
        <v>1.125</v>
      </c>
      <c r="E25" t="s">
        <v>9</v>
      </c>
    </row>
    <row r="27" spans="1:5">
      <c r="A27" t="s">
        <v>40</v>
      </c>
      <c r="B27" t="s">
        <v>30</v>
      </c>
      <c r="C27" t="s">
        <v>12</v>
      </c>
      <c r="D27">
        <v>34</v>
      </c>
      <c r="E27" t="s">
        <v>41</v>
      </c>
    </row>
    <row r="29" spans="1:5">
      <c r="A29" t="s">
        <v>42</v>
      </c>
      <c r="B29" t="s">
        <v>30</v>
      </c>
      <c r="C29" t="s">
        <v>43</v>
      </c>
      <c r="D29">
        <v>8</v>
      </c>
      <c r="E29" t="s">
        <v>44</v>
      </c>
    </row>
    <row r="31" spans="1:5">
      <c r="A31" t="s">
        <v>45</v>
      </c>
      <c r="B31" t="s">
        <v>46</v>
      </c>
      <c r="C31" t="s">
        <v>27</v>
      </c>
      <c r="D31">
        <v>0.35</v>
      </c>
      <c r="E31" t="s">
        <v>47</v>
      </c>
    </row>
    <row r="33" spans="1:5">
      <c r="A33" t="s">
        <v>48</v>
      </c>
      <c r="B33" t="s">
        <v>30</v>
      </c>
      <c r="C33" t="s">
        <v>27</v>
      </c>
      <c r="D33">
        <v>0.225</v>
      </c>
      <c r="E3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换电规模测算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蝌蚪</cp:lastModifiedBy>
  <dcterms:created xsi:type="dcterms:W3CDTF">2026-08-17T07:22:00Z</dcterms:created>
  <dcterms:modified xsi:type="dcterms:W3CDTF">2026-08-17T17:13:51Z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91C3954BA3814C2FB05EA16B08F207DC_12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